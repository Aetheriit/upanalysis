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ooth Dynamics Dashboard" sheetId="2" state="visible" r:id="rId2"/>
    <sheet xmlns:r="http://schemas.openxmlformats.org/officeDocument/2006/relationships" name="Booth-wise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#,##0"/>
  </numFmts>
  <fonts count="14">
    <font>
      <name val="Calibri"/>
      <family val="2"/>
      <color theme="1"/>
      <sz val="11"/>
      <scheme val="minor"/>
    </font>
    <font>
      <name val="Calibri"/>
      <b val="1"/>
      <color rgb="002F5496"/>
      <sz val="16"/>
    </font>
    <font>
      <name val="Calibri"/>
      <i val="1"/>
      <sz val="11"/>
    </font>
    <font>
      <name val="Calibri"/>
      <b val="1"/>
      <color rgb="00595959"/>
      <sz val="10"/>
    </font>
    <font>
      <name val="Calibri"/>
      <b val="1"/>
      <color rgb="002F5496"/>
      <sz val="12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1E4620"/>
      <sz val="11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2F5496"/>
      <sz val="10"/>
    </font>
    <font>
      <name val="Calibri"/>
      <i val="1"/>
      <color rgb="00555555"/>
      <sz val="8"/>
    </font>
  </fonts>
  <fills count="8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4472C4"/>
        <bgColor rgb="004472C4"/>
      </patternFill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9F9F9"/>
        <bgColor rgb="00F9F9F9"/>
      </patternFill>
    </fill>
    <fill>
      <patternFill patternType="solid">
        <fgColor rgb="00F2F2F2"/>
        <bgColor rgb="00F2F2F2"/>
      </patternFill>
    </fill>
  </fills>
  <borders count="8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</border>
    <border>
      <left style="thin">
        <color rgb="00D9D9D9"/>
      </left>
      <right style="thin">
        <color rgb="00D9D9D9"/>
      </right>
      <bottom style="thin">
        <color rgb="00D9D9D9"/>
      </bottom>
    </border>
    <border>
      <bottom style="medium">
        <color rgb="002F549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2F5496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medium">
        <color rgb="002F5496"/>
      </left>
      <right style="thin">
        <color rgb="002F5496"/>
      </right>
      <top style="thin">
        <color rgb="002F5496"/>
      </top>
      <bottom style="thin">
        <color rgb="002F5496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3" fontId="4" fillId="2" borderId="2" applyAlignment="1" pivotButton="0" quotePrefix="0" xfId="0">
      <alignment horizontal="center" vertical="center"/>
    </xf>
    <xf numFmtId="164" fontId="4" fillId="2" borderId="2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/>
    </xf>
    <xf numFmtId="0" fontId="6" fillId="4" borderId="3" applyAlignment="1" pivotButton="0" quotePrefix="0" xfId="0">
      <alignment horizontal="center" vertical="center"/>
    </xf>
    <xf numFmtId="0" fontId="6" fillId="4" borderId="3" applyAlignment="1" pivotButton="0" quotePrefix="0" xfId="0">
      <alignment horizontal="left" vertical="center"/>
    </xf>
    <xf numFmtId="0" fontId="7" fillId="5" borderId="4" applyAlignment="1" pivotButton="0" quotePrefix="0" xfId="0">
      <alignment horizontal="center"/>
    </xf>
    <xf numFmtId="0" fontId="7" fillId="5" borderId="4" pivotButton="0" quotePrefix="0" xfId="0"/>
    <xf numFmtId="3" fontId="7" fillId="5" borderId="4" applyAlignment="1" pivotButton="0" quotePrefix="0" xfId="0">
      <alignment horizontal="right"/>
    </xf>
    <xf numFmtId="10" fontId="7" fillId="5" borderId="4" applyAlignment="1" pivotButton="0" quotePrefix="0" xfId="0">
      <alignment horizontal="right"/>
    </xf>
    <xf numFmtId="165" fontId="7" fillId="5" borderId="4" applyAlignment="1" pivotButton="0" quotePrefix="0" xfId="0">
      <alignment horizontal="right"/>
    </xf>
    <xf numFmtId="0" fontId="8" fillId="6" borderId="4" applyAlignment="1" pivotButton="0" quotePrefix="0" xfId="0">
      <alignment horizontal="center"/>
    </xf>
    <xf numFmtId="0" fontId="8" fillId="6" borderId="4" pivotButton="0" quotePrefix="0" xfId="0"/>
    <xf numFmtId="3" fontId="8" fillId="6" borderId="4" applyAlignment="1" pivotButton="0" quotePrefix="0" xfId="0">
      <alignment horizontal="right"/>
    </xf>
    <xf numFmtId="10" fontId="8" fillId="6" borderId="4" applyAlignment="1" pivotButton="0" quotePrefix="0" xfId="0">
      <alignment horizontal="right"/>
    </xf>
    <xf numFmtId="0" fontId="9" fillId="0" borderId="4" applyAlignment="1" pivotButton="0" quotePrefix="0" xfId="0">
      <alignment horizontal="center"/>
    </xf>
    <xf numFmtId="0" fontId="9" fillId="0" borderId="4" pivotButton="0" quotePrefix="0" xfId="0"/>
    <xf numFmtId="3" fontId="9" fillId="0" borderId="4" applyAlignment="1" pivotButton="0" quotePrefix="0" xfId="0">
      <alignment horizontal="right"/>
    </xf>
    <xf numFmtId="10" fontId="9" fillId="0" borderId="4" applyAlignment="1" pivotButton="0" quotePrefix="0" xfId="0">
      <alignment horizontal="right"/>
    </xf>
    <xf numFmtId="0" fontId="9" fillId="7" borderId="4" applyAlignment="1" pivotButton="0" quotePrefix="0" xfId="0">
      <alignment horizontal="center"/>
    </xf>
    <xf numFmtId="0" fontId="9" fillId="7" borderId="4" pivotButton="0" quotePrefix="0" xfId="0"/>
    <xf numFmtId="3" fontId="9" fillId="7" borderId="4" applyAlignment="1" pivotButton="0" quotePrefix="0" xfId="0">
      <alignment horizontal="right"/>
    </xf>
    <xf numFmtId="10" fontId="9" fillId="7" borderId="4" applyAlignment="1" pivotButton="0" quotePrefix="0" xfId="0">
      <alignment horizontal="right"/>
    </xf>
    <xf numFmtId="0" fontId="0" fillId="0" borderId="5" pivotButton="0" quotePrefix="0" xfId="0"/>
    <xf numFmtId="0" fontId="8" fillId="0" borderId="5" pivotButton="0" quotePrefix="0" xfId="0"/>
    <xf numFmtId="3" fontId="8" fillId="0" borderId="5" applyAlignment="1" pivotButton="0" quotePrefix="0" xfId="0">
      <alignment horizontal="right"/>
    </xf>
    <xf numFmtId="164" fontId="8" fillId="0" borderId="5" applyAlignment="1" pivotButton="0" quotePrefix="0" xfId="0">
      <alignment horizontal="right"/>
    </xf>
    <xf numFmtId="0" fontId="6" fillId="4" borderId="3" applyAlignment="1" pivotButton="0" quotePrefix="0" xfId="0">
      <alignment horizontal="center" vertical="center" wrapText="1"/>
    </xf>
    <xf numFmtId="3" fontId="9" fillId="0" borderId="4" pivotButton="0" quotePrefix="0" xfId="0"/>
    <xf numFmtId="164" fontId="9" fillId="0" borderId="4" applyAlignment="1" pivotButton="0" quotePrefix="0" xfId="0">
      <alignment horizontal="right"/>
    </xf>
    <xf numFmtId="3" fontId="9" fillId="0" borderId="4" applyAlignment="1" pivotButton="0" quotePrefix="0" xfId="0">
      <alignment horizontal="center"/>
    </xf>
    <xf numFmtId="0" fontId="0" fillId="7" borderId="4" applyAlignment="1" pivotButton="0" quotePrefix="0" xfId="0">
      <alignment horizontal="center"/>
    </xf>
    <xf numFmtId="0" fontId="0" fillId="7" borderId="4" pivotButton="0" quotePrefix="0" xfId="0"/>
    <xf numFmtId="3" fontId="0" fillId="7" borderId="4" pivotButton="0" quotePrefix="0" xfId="0"/>
    <xf numFmtId="164" fontId="0" fillId="7" borderId="4" applyAlignment="1" pivotButton="0" quotePrefix="0" xfId="0">
      <alignment horizontal="right"/>
    </xf>
    <xf numFmtId="3" fontId="8" fillId="7" borderId="4" applyAlignment="1" pivotButton="0" quotePrefix="0" xfId="0">
      <alignment horizontal="right"/>
    </xf>
    <xf numFmtId="3" fontId="0" fillId="7" borderId="4" applyAlignment="1" pivotButton="0" quotePrefix="0" xfId="0">
      <alignment horizontal="center"/>
    </xf>
    <xf numFmtId="3" fontId="8" fillId="0" borderId="5" applyAlignment="1" pivotButton="0" quotePrefix="0" xfId="0">
      <alignment horizontal="center"/>
    </xf>
    <xf numFmtId="0" fontId="10" fillId="4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2" fillId="2" borderId="7" applyAlignment="1" pivotButton="0" quotePrefix="0" xfId="0">
      <alignment horizontal="center" vertical="center"/>
    </xf>
    <xf numFmtId="0" fontId="0" fillId="2" borderId="7" pivotButton="0" quotePrefix="0" xfId="0"/>
    <xf numFmtId="0" fontId="1" fillId="2" borderId="7" applyAlignment="1" pivotButton="0" quotePrefix="0" xfId="0">
      <alignment horizontal="center" vertical="center"/>
    </xf>
    <xf numFmtId="0" fontId="13" fillId="2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 wrapText="1"/>
    </xf>
    <xf numFmtId="0" fontId="9" fillId="7" borderId="6" applyAlignment="1" pivotButton="0" quotePrefix="0" xfId="0">
      <alignment horizontal="left" vertical="center"/>
    </xf>
    <xf numFmtId="3" fontId="9" fillId="7" borderId="6" applyAlignment="1" pivotButton="0" quotePrefix="0" xfId="0">
      <alignment horizontal="right" vertical="center"/>
    </xf>
    <xf numFmtId="0" fontId="9" fillId="0" borderId="6" applyAlignment="1" pivotButton="0" quotePrefix="0" xfId="0">
      <alignment horizontal="left" vertical="center"/>
    </xf>
    <xf numFmtId="3" fontId="9" fillId="0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12620625" cy="6172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7</row>
      <rowOff>0</rowOff>
    </from>
    <ext cx="7620000" cy="5772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</row>
      <rowOff>0</rowOff>
    </from>
    <ext cx="7620000" cy="57721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6182975" cy="6191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UP Vidhan Sabha Election 2017 - 01-Behat Constituency</t>
        </is>
      </c>
    </row>
    <row r="2">
      <c r="A2" s="2" t="inlineStr">
        <is>
          <t>Constituency Election Results and Voting Statistics (Sample of 240 Polling Booths)</t>
        </is>
      </c>
    </row>
    <row r="4">
      <c r="B4" s="3" t="inlineStr">
        <is>
          <t>Total Electors</t>
        </is>
      </c>
      <c r="C4" s="3" t="inlineStr">
        <is>
          <t>Total Turnout</t>
        </is>
      </c>
      <c r="D4" s="3" t="inlineStr">
        <is>
          <t>Turnout %</t>
        </is>
      </c>
      <c r="E4" s="3" t="inlineStr">
        <is>
          <t>Male Turnout</t>
        </is>
      </c>
      <c r="F4" s="3" t="inlineStr">
        <is>
          <t>Female Turnout</t>
        </is>
      </c>
      <c r="G4" s="3" t="inlineStr">
        <is>
          <t>EPIC Voters Identified</t>
        </is>
      </c>
    </row>
    <row r="5">
      <c r="B5" s="4" t="n">
        <v>236710</v>
      </c>
      <c r="C5" s="4" t="n">
        <v>180068</v>
      </c>
      <c r="D5" s="5" t="n">
        <v>0.7607114190359512</v>
      </c>
      <c r="E5" s="4" t="n">
        <v>95474</v>
      </c>
      <c r="F5" s="4" t="n">
        <v>84594</v>
      </c>
      <c r="G5" s="4" t="n">
        <v>15794</v>
      </c>
    </row>
    <row r="7" ht="24" customHeight="1">
      <c r="A7" s="6" t="inlineStr">
        <is>
          <t xml:space="preserve"> CANDIDATE PERFORMANCE &amp; VOTE SHARE</t>
        </is>
      </c>
    </row>
    <row r="8" ht="26" customHeight="1">
      <c r="A8" s="7" t="inlineStr">
        <is>
          <t>S. No.</t>
        </is>
      </c>
      <c r="B8" s="8" t="inlineStr">
        <is>
          <t>Candidate Name</t>
        </is>
      </c>
      <c r="C8" s="8" t="inlineStr">
        <is>
          <t>Party</t>
        </is>
      </c>
      <c r="D8" s="7" t="inlineStr">
        <is>
          <t>Votes Secured</t>
        </is>
      </c>
      <c r="E8" s="7" t="inlineStr">
        <is>
          <t>Vote Share %</t>
        </is>
      </c>
      <c r="F8" s="7" t="inlineStr">
        <is>
          <t>Position</t>
        </is>
      </c>
      <c r="G8" s="7" t="inlineStr">
        <is>
          <t>Margin / Note</t>
        </is>
      </c>
    </row>
    <row r="9" ht="20" customHeight="1">
      <c r="A9" s="9" t="n">
        <v>3</v>
      </c>
      <c r="B9" s="10" t="inlineStr">
        <is>
          <t>NARESH SAINI</t>
        </is>
      </c>
      <c r="C9" s="10" t="inlineStr">
        <is>
          <t>INC</t>
        </is>
      </c>
      <c r="D9" s="11" t="n">
        <v>71946</v>
      </c>
      <c r="E9" s="12">
        <f>D9/$D$23</f>
        <v/>
      </c>
      <c r="F9" s="9" t="inlineStr">
        <is>
          <t>Winner</t>
        </is>
      </c>
      <c r="G9" s="13">
        <f>D9-D10</f>
        <v/>
      </c>
    </row>
    <row r="10" ht="20" customHeight="1">
      <c r="A10" s="14" t="n">
        <v>2</v>
      </c>
      <c r="B10" s="15" t="inlineStr">
        <is>
          <t>MOHD. IQBAL</t>
        </is>
      </c>
      <c r="C10" s="15" t="inlineStr">
        <is>
          <t>BSP</t>
        </is>
      </c>
      <c r="D10" s="16" t="n">
        <v>52094</v>
      </c>
      <c r="E10" s="17">
        <f>D10/$D$23</f>
        <v/>
      </c>
      <c r="F10" s="14" t="inlineStr">
        <is>
          <t>Runner-Up</t>
        </is>
      </c>
      <c r="G10" s="15" t="inlineStr">
        <is>
          <t>Runner-Up</t>
        </is>
      </c>
    </row>
    <row r="11" ht="20" customHeight="1">
      <c r="A11" s="18" t="n">
        <v>4</v>
      </c>
      <c r="B11" s="19" t="inlineStr">
        <is>
          <t>MAHAVEER SINGH</t>
        </is>
      </c>
      <c r="C11" s="19" t="inlineStr">
        <is>
          <t>BJP</t>
        </is>
      </c>
      <c r="D11" s="20" t="n">
        <v>45939</v>
      </c>
      <c r="E11" s="21">
        <f>D11/$D$23</f>
        <v/>
      </c>
      <c r="F11" s="18" t="inlineStr">
        <is>
          <t>#3</t>
        </is>
      </c>
      <c r="G11" s="19" t="inlineStr"/>
    </row>
    <row r="12" ht="20" customHeight="1">
      <c r="A12" s="22" t="n">
        <v>8</v>
      </c>
      <c r="B12" s="23" t="inlineStr">
        <is>
          <t>RANA ADITYA PRATAP</t>
        </is>
      </c>
      <c r="C12" s="23" t="inlineStr">
        <is>
          <t>IND</t>
        </is>
      </c>
      <c r="D12" s="24" t="n">
        <v>3773</v>
      </c>
      <c r="E12" s="25">
        <f>D12/$D$23</f>
        <v/>
      </c>
      <c r="F12" s="22" t="inlineStr">
        <is>
          <t>#4</t>
        </is>
      </c>
      <c r="G12" s="23" t="inlineStr"/>
    </row>
    <row r="13" ht="20" customHeight="1">
      <c r="A13" s="18" t="n">
        <v>14</v>
      </c>
      <c r="B13" s="19" t="inlineStr">
        <is>
          <t>NOTA</t>
        </is>
      </c>
      <c r="C13" s="19" t="inlineStr">
        <is>
          <t>None</t>
        </is>
      </c>
      <c r="D13" s="20" t="n">
        <v>1135</v>
      </c>
      <c r="E13" s="21">
        <f>D13/$D$23</f>
        <v/>
      </c>
      <c r="F13" s="18" t="inlineStr">
        <is>
          <t>#5</t>
        </is>
      </c>
      <c r="G13" s="19" t="inlineStr"/>
    </row>
    <row r="14" ht="20" customHeight="1">
      <c r="A14" s="22" t="n">
        <v>5</v>
      </c>
      <c r="B14" s="23" t="inlineStr">
        <is>
          <t>KAMRAN ALI</t>
        </is>
      </c>
      <c r="C14" s="23" t="inlineStr">
        <is>
          <t>IND/Minor</t>
        </is>
      </c>
      <c r="D14" s="24" t="n">
        <v>860</v>
      </c>
      <c r="E14" s="25">
        <f>D14/$D$23</f>
        <v/>
      </c>
      <c r="F14" s="22" t="inlineStr">
        <is>
          <t>#6</t>
        </is>
      </c>
      <c r="G14" s="23" t="inlineStr"/>
    </row>
    <row r="15" ht="20" customHeight="1">
      <c r="A15" s="18" t="n">
        <v>13</v>
      </c>
      <c r="B15" s="19" t="inlineStr">
        <is>
          <t>HARDHYAN</t>
        </is>
      </c>
      <c r="C15" s="19" t="inlineStr">
        <is>
          <t>IND</t>
        </is>
      </c>
      <c r="D15" s="20" t="n">
        <v>825</v>
      </c>
      <c r="E15" s="21">
        <f>D15/$D$23</f>
        <v/>
      </c>
      <c r="F15" s="18" t="inlineStr">
        <is>
          <t>#7</t>
        </is>
      </c>
      <c r="G15" s="19" t="inlineStr"/>
    </row>
    <row r="16" ht="20" customHeight="1">
      <c r="A16" s="22" t="n">
        <v>1</v>
      </c>
      <c r="B16" s="23" t="inlineStr">
        <is>
          <t>ARUN</t>
        </is>
      </c>
      <c r="C16" s="23" t="inlineStr">
        <is>
          <t>RLD</t>
        </is>
      </c>
      <c r="D16" s="24" t="n">
        <v>688</v>
      </c>
      <c r="E16" s="25">
        <f>D16/$D$23</f>
        <v/>
      </c>
      <c r="F16" s="22" t="inlineStr">
        <is>
          <t>#8</t>
        </is>
      </c>
      <c r="G16" s="23" t="inlineStr"/>
    </row>
    <row r="17" ht="20" customHeight="1">
      <c r="A17" s="18" t="n">
        <v>12</v>
      </c>
      <c r="B17" s="19" t="inlineStr">
        <is>
          <t>GOPAL SINGH</t>
        </is>
      </c>
      <c r="C17" s="19" t="inlineStr">
        <is>
          <t>IND</t>
        </is>
      </c>
      <c r="D17" s="20" t="n">
        <v>678</v>
      </c>
      <c r="E17" s="21">
        <f>D17/$D$23</f>
        <v/>
      </c>
      <c r="F17" s="18" t="inlineStr">
        <is>
          <t>#9</t>
        </is>
      </c>
      <c r="G17" s="19" t="inlineStr"/>
    </row>
    <row r="18" ht="20" customHeight="1">
      <c r="A18" s="22" t="n">
        <v>11</v>
      </c>
      <c r="B18" s="23" t="inlineStr">
        <is>
          <t>KRISHNA KUMAR</t>
        </is>
      </c>
      <c r="C18" s="23" t="inlineStr">
        <is>
          <t>IND</t>
        </is>
      </c>
      <c r="D18" s="24" t="n">
        <v>597</v>
      </c>
      <c r="E18" s="25">
        <f>D18/$D$23</f>
        <v/>
      </c>
      <c r="F18" s="22" t="inlineStr">
        <is>
          <t>#10</t>
        </is>
      </c>
      <c r="G18" s="23" t="inlineStr"/>
    </row>
    <row r="19" ht="20" customHeight="1">
      <c r="A19" s="18" t="n">
        <v>10</v>
      </c>
      <c r="B19" s="19" t="inlineStr">
        <is>
          <t>KALYAN SINGH</t>
        </is>
      </c>
      <c r="C19" s="19" t="inlineStr">
        <is>
          <t>IND</t>
        </is>
      </c>
      <c r="D19" s="20" t="n">
        <v>504</v>
      </c>
      <c r="E19" s="21">
        <f>D19/$D$23</f>
        <v/>
      </c>
      <c r="F19" s="18" t="inlineStr">
        <is>
          <t>#11</t>
        </is>
      </c>
      <c r="G19" s="19" t="inlineStr"/>
    </row>
    <row r="20" ht="20" customHeight="1">
      <c r="A20" s="22" t="n">
        <v>6</v>
      </c>
      <c r="B20" s="23" t="inlineStr">
        <is>
          <t>LOKESH VERMA</t>
        </is>
      </c>
      <c r="C20" s="23" t="inlineStr">
        <is>
          <t>BTSP</t>
        </is>
      </c>
      <c r="D20" s="24" t="n">
        <v>451</v>
      </c>
      <c r="E20" s="25">
        <f>D20/$D$23</f>
        <v/>
      </c>
      <c r="F20" s="22" t="inlineStr">
        <is>
          <t>#12</t>
        </is>
      </c>
      <c r="G20" s="23" t="inlineStr"/>
    </row>
    <row r="21" ht="20" customHeight="1">
      <c r="A21" s="18" t="n">
        <v>7</v>
      </c>
      <c r="B21" s="19" t="inlineStr">
        <is>
          <t>SAKEEM KHAN</t>
        </is>
      </c>
      <c r="C21" s="19" t="inlineStr">
        <is>
          <t>BMP</t>
        </is>
      </c>
      <c r="D21" s="20" t="n">
        <v>332</v>
      </c>
      <c r="E21" s="21">
        <f>D21/$D$23</f>
        <v/>
      </c>
      <c r="F21" s="18" t="inlineStr">
        <is>
          <t>#13</t>
        </is>
      </c>
      <c r="G21" s="19" t="inlineStr"/>
    </row>
    <row r="22" ht="20" customHeight="1">
      <c r="A22" s="22" t="n">
        <v>9</v>
      </c>
      <c r="B22" s="23" t="inlineStr">
        <is>
          <t>KARM SINGH</t>
        </is>
      </c>
      <c r="C22" s="23" t="inlineStr">
        <is>
          <t>IND</t>
        </is>
      </c>
      <c r="D22" s="24" t="n">
        <v>246</v>
      </c>
      <c r="E22" s="25">
        <f>D22/$D$23</f>
        <v/>
      </c>
      <c r="F22" s="22" t="inlineStr">
        <is>
          <t>#14</t>
        </is>
      </c>
      <c r="G22" s="23" t="inlineStr"/>
    </row>
    <row r="23" ht="22" customHeight="1">
      <c r="A23" s="26" t="inlineStr"/>
      <c r="B23" s="27" t="inlineStr">
        <is>
          <t>Total Polled Votes</t>
        </is>
      </c>
      <c r="C23" s="26" t="inlineStr"/>
      <c r="D23" s="28">
        <f>SUM(D9:D22)</f>
        <v/>
      </c>
      <c r="E23" s="29">
        <f>SUM(E9:E22)</f>
        <v/>
      </c>
      <c r="F23" s="26" t="inlineStr"/>
      <c r="G23" s="26" t="inlineStr"/>
    </row>
  </sheetData>
  <mergeCells count="1">
    <mergeCell ref="A7:G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11" customWidth="1" min="3" max="3"/>
    <col width="3" customWidth="1" min="4" max="4"/>
    <col width="11" customWidth="1" min="5" max="5"/>
    <col width="11" customWidth="1" min="6" max="6"/>
    <col width="3" customWidth="1" min="7" max="7"/>
    <col width="11" customWidth="1" min="8" max="8"/>
    <col width="11" customWidth="1" min="9" max="9"/>
    <col width="3" customWidth="1" min="10" max="10"/>
    <col width="11" customWidth="1" min="11" max="11"/>
    <col width="11" customWidth="1" min="12" max="12"/>
    <col width="3" customWidth="1" min="13" max="13"/>
    <col width="11" customWidth="1" min="14" max="14"/>
    <col width="11" customWidth="1" min="15" max="15"/>
  </cols>
  <sheetData>
    <row r="1" ht="30" customHeight="1">
      <c r="A1" s="41" t="inlineStr">
        <is>
          <t>UP Vidhan Sabha Election 2017 - 01-Behat Booth Dynamics Dashboard</t>
        </is>
      </c>
    </row>
    <row r="2" ht="20" customHeight="1">
      <c r="A2" s="42" t="inlineStr">
        <is>
          <t>Granular Booth-level Voter Turnout, Party Victories, and Victory Margins (240 Polling Stations)</t>
        </is>
      </c>
    </row>
    <row r="4" ht="18" customHeight="1">
      <c r="B4" s="43" t="inlineStr">
        <is>
          <t>AVERAGE BOOTH TURNOUT</t>
        </is>
      </c>
      <c r="C4" s="44" t="n"/>
      <c r="E4" s="43" t="inlineStr">
        <is>
          <t>HIGHEST TURNOUT BOOTH</t>
        </is>
      </c>
      <c r="F4" s="44" t="n"/>
      <c r="H4" s="43" t="inlineStr">
        <is>
          <t>LOWEST TURNOUT BOOTH</t>
        </is>
      </c>
      <c r="I4" s="44" t="n"/>
      <c r="K4" s="43" t="inlineStr">
        <is>
          <t>LARGEST BOOTH MARGIN</t>
        </is>
      </c>
      <c r="L4" s="44" t="n"/>
      <c r="N4" s="43" t="inlineStr">
        <is>
          <t>CLOSEST BOOTH MARGIN</t>
        </is>
      </c>
      <c r="O4" s="44" t="n"/>
    </row>
    <row r="5" ht="24" customHeight="1">
      <c r="B5" s="45" t="inlineStr">
        <is>
          <t>76.56%</t>
        </is>
      </c>
      <c r="C5" s="44" t="n"/>
      <c r="E5" s="45" t="inlineStr">
        <is>
          <t>92.63%</t>
        </is>
      </c>
      <c r="F5" s="44" t="n"/>
      <c r="H5" s="45" t="inlineStr">
        <is>
          <t>59.08%</t>
        </is>
      </c>
      <c r="I5" s="44" t="n"/>
      <c r="K5" s="45" t="inlineStr">
        <is>
          <t>678 votes</t>
        </is>
      </c>
      <c r="L5" s="44" t="n"/>
      <c r="N5" s="45" t="inlineStr">
        <is>
          <t>1 vote</t>
        </is>
      </c>
      <c r="O5" s="44" t="n"/>
    </row>
    <row r="6" ht="15" customHeight="1">
      <c r="B6" s="46" t="inlineStr">
        <is>
          <t>Centered tightly around 76.6%</t>
        </is>
      </c>
      <c r="C6" s="44" t="n"/>
      <c r="E6" s="46" t="inlineStr">
        <is>
          <t>Booth 196 (Mandora)</t>
        </is>
      </c>
      <c r="F6" s="44" t="n"/>
      <c r="H6" s="46" t="inlineStr">
        <is>
          <t>Booth 200 (Khirka Bhtkawa)</t>
        </is>
      </c>
      <c r="I6" s="44" t="n"/>
      <c r="K6" s="46" t="inlineStr">
        <is>
          <t>Booth 82 (Marwa) - won by INC</t>
        </is>
      </c>
      <c r="L6" s="44" t="n"/>
      <c r="N6" s="46" t="inlineStr">
        <is>
          <t>Booths 107 (Ruhalka) and 229 (Malayan) - BJP</t>
        </is>
      </c>
      <c r="O6" s="44" t="n"/>
    </row>
  </sheetData>
  <mergeCells count="17">
    <mergeCell ref="B6:C6"/>
    <mergeCell ref="E4:F4"/>
    <mergeCell ref="E6:F6"/>
    <mergeCell ref="A2:O2"/>
    <mergeCell ref="H6:I6"/>
    <mergeCell ref="N5:O5"/>
    <mergeCell ref="B5:C5"/>
    <mergeCell ref="N6:O6"/>
    <mergeCell ref="K6:L6"/>
    <mergeCell ref="A1:O1"/>
    <mergeCell ref="E5:F5"/>
    <mergeCell ref="H5:I5"/>
    <mergeCell ref="K5:L5"/>
    <mergeCell ref="H4:I4"/>
    <mergeCell ref="K4:L4"/>
    <mergeCell ref="B4:C4"/>
    <mergeCell ref="N4:O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44"/>
  <sheetViews>
    <sheetView showGridLines="1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7" customWidth="1" min="1" max="1"/>
    <col width="38" customWidth="1" min="2" max="2"/>
    <col width="17" customWidth="1" min="3" max="3"/>
    <col width="14" customWidth="1" min="4" max="4"/>
    <col width="16" customWidth="1" min="5" max="5"/>
    <col width="15" customWidth="1" min="6" max="6"/>
    <col width="16" customWidth="1" min="7" max="7"/>
    <col width="12" customWidth="1" min="8" max="8"/>
    <col width="14" customWidth="1" min="9" max="9"/>
    <col width="18" customWidth="1" min="10" max="10"/>
    <col width="13" customWidth="1" min="11" max="11"/>
    <col width="20" customWidth="1" min="12" max="12"/>
    <col width="21" customWidth="1" min="13" max="13"/>
    <col width="23" customWidth="1" min="14" max="14"/>
    <col width="19" customWidth="1" min="15" max="15"/>
    <col width="22" customWidth="1" min="16" max="16"/>
    <col width="20" customWidth="1" min="17" max="17"/>
    <col width="27" customWidth="1" min="18" max="18"/>
    <col width="19" customWidth="1" min="19" max="19"/>
    <col width="21" customWidth="1" min="20" max="20"/>
    <col width="22" customWidth="1" min="21" max="21"/>
    <col width="20" customWidth="1" min="22" max="22"/>
    <col width="17" customWidth="1" min="23" max="23"/>
    <col width="10" customWidth="1" min="24" max="24"/>
    <col width="21" customWidth="1" min="25" max="25"/>
    <col width="12" customWidth="1" min="26" max="26"/>
    <col width="28" customWidth="1" min="27" max="27"/>
    <col width="16" customWidth="1" min="28" max="28"/>
  </cols>
  <sheetData>
    <row r="1">
      <c r="A1" s="1" t="inlineStr">
        <is>
          <t>UP Assembly General Election 2017 - 01-Behat Detailed Polling Station Data</t>
        </is>
      </c>
    </row>
    <row r="3" ht="28" customHeight="1">
      <c r="A3" s="30" t="inlineStr">
        <is>
          <t>Booth ID</t>
        </is>
      </c>
      <c r="B3" s="30" t="inlineStr">
        <is>
          <t>Polling Station Name</t>
        </is>
      </c>
      <c r="C3" s="30" t="inlineStr">
        <is>
          <t>Total Electors</t>
        </is>
      </c>
      <c r="D3" s="30" t="inlineStr">
        <is>
          <t>Male Voters</t>
        </is>
      </c>
      <c r="E3" s="30" t="inlineStr">
        <is>
          <t>Female Voters</t>
        </is>
      </c>
      <c r="F3" s="30" t="inlineStr">
        <is>
          <t>Other Voters</t>
        </is>
      </c>
      <c r="G3" s="30" t="inlineStr">
        <is>
          <t>Total Turnout</t>
        </is>
      </c>
      <c r="H3" s="30" t="inlineStr">
        <is>
          <t>Turnout %</t>
        </is>
      </c>
      <c r="I3" s="30" t="inlineStr">
        <is>
          <t>EPIC Voters</t>
        </is>
      </c>
      <c r="J3" s="30" t="inlineStr">
        <is>
          <t>Tendered Voters</t>
        </is>
      </c>
      <c r="K3" s="30" t="inlineStr">
        <is>
          <t>ARUN (RLD)</t>
        </is>
      </c>
      <c r="L3" s="30" t="inlineStr">
        <is>
          <t>MOHD. IQBAL (BSP)</t>
        </is>
      </c>
      <c r="M3" s="30" t="inlineStr">
        <is>
          <t>NARESH SAINI (INC)</t>
        </is>
      </c>
      <c r="N3" s="30" t="inlineStr">
        <is>
          <t>MAHAVEER SINGH (BJP)</t>
        </is>
      </c>
      <c r="O3" s="30" t="inlineStr">
        <is>
          <t>KAMRAN ALI (IND)</t>
        </is>
      </c>
      <c r="P3" s="30" t="inlineStr">
        <is>
          <t>LOKESH VERMA (BTSP)</t>
        </is>
      </c>
      <c r="Q3" s="30" t="inlineStr">
        <is>
          <t>SAKEEM KHAN (BMP)</t>
        </is>
      </c>
      <c r="R3" s="30" t="inlineStr">
        <is>
          <t>RANA ADITYA PRATAP (IND)</t>
        </is>
      </c>
      <c r="S3" s="30" t="inlineStr">
        <is>
          <t>KARM SINGH (IND)</t>
        </is>
      </c>
      <c r="T3" s="30" t="inlineStr">
        <is>
          <t>KALYAN SINGH (IND)</t>
        </is>
      </c>
      <c r="U3" s="30" t="inlineStr">
        <is>
          <t>KRISHNA KUMAR (IND)</t>
        </is>
      </c>
      <c r="V3" s="30" t="inlineStr">
        <is>
          <t>GOPAL SINGH (IND)</t>
        </is>
      </c>
      <c r="W3" s="30" t="inlineStr">
        <is>
          <t>HARDHYAN (IND)</t>
        </is>
      </c>
      <c r="X3" s="30" t="inlineStr">
        <is>
          <t>NOTA</t>
        </is>
      </c>
      <c r="Y3" s="30" t="inlineStr">
        <is>
          <t>Total Votes Polled</t>
        </is>
      </c>
      <c r="Z3" s="30" t="inlineStr">
        <is>
          <t>Check Sum</t>
        </is>
      </c>
      <c r="AA3" s="47" t="inlineStr">
        <is>
          <t>Winning Candidate</t>
        </is>
      </c>
      <c r="AB3" s="47" t="inlineStr">
        <is>
          <t>Winning Margin</t>
        </is>
      </c>
    </row>
    <row r="4" ht="19" customHeight="1">
      <c r="A4" s="18" t="n">
        <v>1</v>
      </c>
      <c r="B4" s="19" t="inlineStr">
        <is>
          <t>PRATHMIK VIDYALAYA ROOM NO. 1 RAHNA</t>
        </is>
      </c>
      <c r="C4" s="31" t="n">
        <v>1049</v>
      </c>
      <c r="D4" s="31" t="n">
        <v>431</v>
      </c>
      <c r="E4" s="31" t="n">
        <v>307</v>
      </c>
      <c r="F4" s="31" t="n">
        <v>0</v>
      </c>
      <c r="G4" s="31" t="n">
        <v>738</v>
      </c>
      <c r="H4" s="32">
        <f>G4/C4</f>
        <v/>
      </c>
      <c r="I4" s="31" t="n">
        <v>0</v>
      </c>
      <c r="J4" s="31" t="n">
        <v>0</v>
      </c>
      <c r="K4" s="31" t="n">
        <v>9</v>
      </c>
      <c r="L4" s="31" t="n">
        <v>143</v>
      </c>
      <c r="M4" s="31" t="n">
        <v>311</v>
      </c>
      <c r="N4" s="31" t="n">
        <v>221</v>
      </c>
      <c r="O4" s="31" t="n">
        <v>7</v>
      </c>
      <c r="P4" s="31" t="n">
        <v>5</v>
      </c>
      <c r="Q4" s="31" t="n">
        <v>3</v>
      </c>
      <c r="R4" s="31" t="n">
        <v>8</v>
      </c>
      <c r="S4" s="31" t="n">
        <v>3</v>
      </c>
      <c r="T4" s="31" t="n">
        <v>4</v>
      </c>
      <c r="U4" s="31" t="n">
        <v>2</v>
      </c>
      <c r="V4" s="31" t="n">
        <v>5</v>
      </c>
      <c r="W4" s="31" t="n">
        <v>7</v>
      </c>
      <c r="X4" s="31" t="n">
        <v>10</v>
      </c>
      <c r="Y4" s="20">
        <f>SUM(K4:X4)</f>
        <v/>
      </c>
      <c r="Z4" s="33">
        <f>G4-Y4</f>
        <v/>
      </c>
      <c r="AA4" s="48">
        <f>INDEX($K$3:$X$3, MATCH(MAX(K4:X4), K4:X4, 0))</f>
        <v/>
      </c>
      <c r="AB4" s="49">
        <f>LARGE(K4:X4, 1) - LARGE(K4:X4, 2)</f>
        <v/>
      </c>
    </row>
    <row r="5" ht="19" customHeight="1">
      <c r="A5" s="34" t="n">
        <v>2</v>
      </c>
      <c r="B5" s="35" t="inlineStr">
        <is>
          <t>PRATHMIK VIDYALAYA ROOM NO. 2 RAHNA</t>
        </is>
      </c>
      <c r="C5" s="36" t="n">
        <v>815</v>
      </c>
      <c r="D5" s="36" t="n">
        <v>363</v>
      </c>
      <c r="E5" s="36" t="n">
        <v>312</v>
      </c>
      <c r="F5" s="36" t="n">
        <v>0</v>
      </c>
      <c r="G5" s="36" t="n">
        <v>675</v>
      </c>
      <c r="H5" s="37">
        <f>G5/C5</f>
        <v/>
      </c>
      <c r="I5" s="36" t="n">
        <v>265</v>
      </c>
      <c r="J5" s="36" t="n">
        <v>0</v>
      </c>
      <c r="K5" s="36" t="n">
        <v>5</v>
      </c>
      <c r="L5" s="36" t="n">
        <v>194</v>
      </c>
      <c r="M5" s="36" t="n">
        <v>437</v>
      </c>
      <c r="N5" s="36" t="n">
        <v>7</v>
      </c>
      <c r="O5" s="36" t="n">
        <v>1</v>
      </c>
      <c r="P5" s="36" t="n">
        <v>1</v>
      </c>
      <c r="Q5" s="36" t="n">
        <v>1</v>
      </c>
      <c r="R5" s="36" t="n">
        <v>1</v>
      </c>
      <c r="S5" s="36" t="n">
        <v>1</v>
      </c>
      <c r="T5" s="36" t="n">
        <v>2</v>
      </c>
      <c r="U5" s="36" t="n">
        <v>3</v>
      </c>
      <c r="V5" s="36" t="n">
        <v>6</v>
      </c>
      <c r="W5" s="36" t="n">
        <v>5</v>
      </c>
      <c r="X5" s="36" t="n">
        <v>11</v>
      </c>
      <c r="Y5" s="38">
        <f>SUM(K5:X5)</f>
        <v/>
      </c>
      <c r="Z5" s="39">
        <f>G5-Y5</f>
        <v/>
      </c>
      <c r="AA5" s="50">
        <f>INDEX($K$3:$X$3, MATCH(MAX(K5:X5), K5:X5, 0))</f>
        <v/>
      </c>
      <c r="AB5" s="51">
        <f>LARGE(K5:X5, 1) - LARGE(K5:X5, 2)</f>
        <v/>
      </c>
    </row>
    <row r="6" ht="19" customHeight="1">
      <c r="A6" s="18" t="n">
        <v>3</v>
      </c>
      <c r="B6" s="19" t="inlineStr">
        <is>
          <t>PRATHMIK VIDYALAYA ROOM NO. 1 FAIZABAD</t>
        </is>
      </c>
      <c r="C6" s="31" t="n">
        <v>358</v>
      </c>
      <c r="D6" s="31" t="n">
        <v>148</v>
      </c>
      <c r="E6" s="31" t="n">
        <v>145</v>
      </c>
      <c r="F6" s="31" t="n">
        <v>0</v>
      </c>
      <c r="G6" s="31" t="n">
        <v>293</v>
      </c>
      <c r="H6" s="32">
        <f>G6/C6</f>
        <v/>
      </c>
      <c r="I6" s="31" t="n">
        <v>130</v>
      </c>
      <c r="J6" s="31" t="n">
        <v>0</v>
      </c>
      <c r="K6" s="31" t="n">
        <v>1</v>
      </c>
      <c r="L6" s="31" t="n">
        <v>96</v>
      </c>
      <c r="M6" s="31" t="n">
        <v>92</v>
      </c>
      <c r="N6" s="31" t="n">
        <v>90</v>
      </c>
      <c r="O6" s="31" t="n">
        <v>0</v>
      </c>
      <c r="P6" s="31" t="n">
        <v>2</v>
      </c>
      <c r="Q6" s="31" t="n">
        <v>1</v>
      </c>
      <c r="R6" s="31" t="n">
        <v>1</v>
      </c>
      <c r="S6" s="31" t="n">
        <v>0</v>
      </c>
      <c r="T6" s="31" t="n">
        <v>1</v>
      </c>
      <c r="U6" s="31" t="n">
        <v>1</v>
      </c>
      <c r="V6" s="31" t="n">
        <v>2</v>
      </c>
      <c r="W6" s="31" t="n">
        <v>1</v>
      </c>
      <c r="X6" s="31" t="n">
        <v>5</v>
      </c>
      <c r="Y6" s="20">
        <f>SUM(K6:X6)</f>
        <v/>
      </c>
      <c r="Z6" s="33">
        <f>G6-Y6</f>
        <v/>
      </c>
      <c r="AA6" s="48">
        <f>INDEX($K$3:$X$3, MATCH(MAX(K6:X6), K6:X6, 0))</f>
        <v/>
      </c>
      <c r="AB6" s="49">
        <f>LARGE(K6:X6, 1) - LARGE(K6:X6, 2)</f>
        <v/>
      </c>
    </row>
    <row r="7" ht="19" customHeight="1">
      <c r="A7" s="34" t="n">
        <v>4</v>
      </c>
      <c r="B7" s="35" t="inlineStr">
        <is>
          <t>PRATHMIK VIDYALAYA ROOM NO. 2 FAIZABAD</t>
        </is>
      </c>
      <c r="C7" s="36" t="n">
        <v>933</v>
      </c>
      <c r="D7" s="36" t="n">
        <v>411</v>
      </c>
      <c r="E7" s="36" t="n">
        <v>367</v>
      </c>
      <c r="F7" s="36" t="n">
        <v>0</v>
      </c>
      <c r="G7" s="36" t="n">
        <v>778</v>
      </c>
      <c r="H7" s="37">
        <f>G7/C7</f>
        <v/>
      </c>
      <c r="I7" s="36" t="n">
        <v>11</v>
      </c>
      <c r="J7" s="36" t="n">
        <v>0</v>
      </c>
      <c r="K7" s="36" t="n">
        <v>4</v>
      </c>
      <c r="L7" s="36" t="n">
        <v>145</v>
      </c>
      <c r="M7" s="36" t="n">
        <v>473</v>
      </c>
      <c r="N7" s="36" t="n">
        <v>116</v>
      </c>
      <c r="O7" s="36" t="n">
        <v>6</v>
      </c>
      <c r="P7" s="36" t="n">
        <v>1</v>
      </c>
      <c r="Q7" s="36" t="n">
        <v>3</v>
      </c>
      <c r="R7" s="36" t="n">
        <v>2</v>
      </c>
      <c r="S7" s="36" t="n">
        <v>4</v>
      </c>
      <c r="T7" s="36" t="n">
        <v>6</v>
      </c>
      <c r="U7" s="36" t="n">
        <v>3</v>
      </c>
      <c r="V7" s="36" t="n">
        <v>9</v>
      </c>
      <c r="W7" s="36" t="n">
        <v>2</v>
      </c>
      <c r="X7" s="36" t="n">
        <v>4</v>
      </c>
      <c r="Y7" s="38">
        <f>SUM(K7:X7)</f>
        <v/>
      </c>
      <c r="Z7" s="39">
        <f>G7-Y7</f>
        <v/>
      </c>
      <c r="AA7" s="50">
        <f>INDEX($K$3:$X$3, MATCH(MAX(K7:X7), K7:X7, 0))</f>
        <v/>
      </c>
      <c r="AB7" s="51">
        <f>LARGE(K7:X7, 1) - LARGE(K7:X7, 2)</f>
        <v/>
      </c>
    </row>
    <row r="8" ht="19" customHeight="1">
      <c r="A8" s="18" t="n">
        <v>5</v>
      </c>
      <c r="B8" s="19" t="inlineStr">
        <is>
          <t>UCCHA PRATHMIK VIDYALAYA ROOM NO. 1 FAIZABAD</t>
        </is>
      </c>
      <c r="C8" s="31" t="n">
        <v>711</v>
      </c>
      <c r="D8" s="31" t="n">
        <v>308</v>
      </c>
      <c r="E8" s="31" t="n">
        <v>304</v>
      </c>
      <c r="F8" s="31" t="n">
        <v>0</v>
      </c>
      <c r="G8" s="31" t="n">
        <v>612</v>
      </c>
      <c r="H8" s="32">
        <f>G8/C8</f>
        <v/>
      </c>
      <c r="I8" s="31" t="n">
        <v>1</v>
      </c>
      <c r="J8" s="31" t="n">
        <v>0</v>
      </c>
      <c r="K8" s="31" t="n">
        <v>5</v>
      </c>
      <c r="L8" s="31" t="n">
        <v>157</v>
      </c>
      <c r="M8" s="31" t="n">
        <v>247</v>
      </c>
      <c r="N8" s="31" t="n">
        <v>180</v>
      </c>
      <c r="O8" s="31" t="n">
        <v>1</v>
      </c>
      <c r="P8" s="31" t="n">
        <v>6</v>
      </c>
      <c r="Q8" s="31" t="n">
        <v>1</v>
      </c>
      <c r="R8" s="31" t="n">
        <v>2</v>
      </c>
      <c r="S8" s="31" t="n">
        <v>1</v>
      </c>
      <c r="T8" s="31" t="n">
        <v>3</v>
      </c>
      <c r="U8" s="31" t="n">
        <v>2</v>
      </c>
      <c r="V8" s="31" t="n">
        <v>0</v>
      </c>
      <c r="W8" s="31" t="n">
        <v>0</v>
      </c>
      <c r="X8" s="31" t="n">
        <v>7</v>
      </c>
      <c r="Y8" s="20">
        <f>SUM(K8:X8)</f>
        <v/>
      </c>
      <c r="Z8" s="33">
        <f>G8-Y8</f>
        <v/>
      </c>
      <c r="AA8" s="48">
        <f>INDEX($K$3:$X$3, MATCH(MAX(K8:X8), K8:X8, 0))</f>
        <v/>
      </c>
      <c r="AB8" s="49">
        <f>LARGE(K8:X8, 1) - LARGE(K8:X8, 2)</f>
        <v/>
      </c>
    </row>
    <row r="9" ht="19" customHeight="1">
      <c r="A9" s="34" t="n">
        <v>6</v>
      </c>
      <c r="B9" s="35" t="inlineStr">
        <is>
          <t>PRATHMIK VIDYALAYA ROOM NO. 1 MAGANPURA</t>
        </is>
      </c>
      <c r="C9" s="36" t="n">
        <v>1368</v>
      </c>
      <c r="D9" s="36" t="n">
        <v>627</v>
      </c>
      <c r="E9" s="36" t="n">
        <v>500</v>
      </c>
      <c r="F9" s="36" t="n">
        <v>0</v>
      </c>
      <c r="G9" s="36" t="n">
        <v>1127</v>
      </c>
      <c r="H9" s="37">
        <f>G9/C9</f>
        <v/>
      </c>
      <c r="I9" s="36" t="n">
        <v>0</v>
      </c>
      <c r="J9" s="36" t="n">
        <v>0</v>
      </c>
      <c r="K9" s="36" t="n">
        <v>6</v>
      </c>
      <c r="L9" s="36" t="n">
        <v>596</v>
      </c>
      <c r="M9" s="36" t="n">
        <v>356</v>
      </c>
      <c r="N9" s="36" t="n">
        <v>111</v>
      </c>
      <c r="O9" s="36" t="n">
        <v>11</v>
      </c>
      <c r="P9" s="36" t="n">
        <v>14</v>
      </c>
      <c r="Q9" s="36" t="n">
        <v>3</v>
      </c>
      <c r="R9" s="36" t="n">
        <v>6</v>
      </c>
      <c r="S9" s="36" t="n">
        <v>1</v>
      </c>
      <c r="T9" s="36" t="n">
        <v>3</v>
      </c>
      <c r="U9" s="36" t="n">
        <v>3</v>
      </c>
      <c r="V9" s="36" t="n">
        <v>4</v>
      </c>
      <c r="W9" s="36" t="n">
        <v>9</v>
      </c>
      <c r="X9" s="36" t="n">
        <v>4</v>
      </c>
      <c r="Y9" s="38">
        <f>SUM(K9:X9)</f>
        <v/>
      </c>
      <c r="Z9" s="39">
        <f>G9-Y9</f>
        <v/>
      </c>
      <c r="AA9" s="50">
        <f>INDEX($K$3:$X$3, MATCH(MAX(K9:X9), K9:X9, 0))</f>
        <v/>
      </c>
      <c r="AB9" s="51">
        <f>LARGE(K9:X9, 1) - LARGE(K9:X9, 2)</f>
        <v/>
      </c>
    </row>
    <row r="10" ht="19" customHeight="1">
      <c r="A10" s="18" t="n">
        <v>7</v>
      </c>
      <c r="B10" s="19" t="inlineStr">
        <is>
          <t>PRATHMIK VIDYALAYA ROOM NO. 1 FATHEPUR TANDA</t>
        </is>
      </c>
      <c r="C10" s="31" t="n">
        <v>1359</v>
      </c>
      <c r="D10" s="31" t="n">
        <v>614</v>
      </c>
      <c r="E10" s="31" t="n">
        <v>500</v>
      </c>
      <c r="F10" s="31" t="n">
        <v>0</v>
      </c>
      <c r="G10" s="31" t="n">
        <v>1114</v>
      </c>
      <c r="H10" s="32">
        <f>G10/C10</f>
        <v/>
      </c>
      <c r="I10" s="31" t="n">
        <v>400</v>
      </c>
      <c r="J10" s="31" t="n">
        <v>0</v>
      </c>
      <c r="K10" s="31" t="n">
        <v>6</v>
      </c>
      <c r="L10" s="31" t="n">
        <v>228</v>
      </c>
      <c r="M10" s="31" t="n">
        <v>278</v>
      </c>
      <c r="N10" s="31" t="n">
        <v>563</v>
      </c>
      <c r="O10" s="31" t="n">
        <v>13</v>
      </c>
      <c r="P10" s="31" t="n">
        <v>2</v>
      </c>
      <c r="Q10" s="31" t="n">
        <v>2</v>
      </c>
      <c r="R10" s="31" t="n">
        <v>0</v>
      </c>
      <c r="S10" s="31" t="n">
        <v>7</v>
      </c>
      <c r="T10" s="31" t="n">
        <v>4</v>
      </c>
      <c r="U10" s="31" t="n">
        <v>3</v>
      </c>
      <c r="V10" s="31" t="n">
        <v>1</v>
      </c>
      <c r="W10" s="31" t="n">
        <v>6</v>
      </c>
      <c r="X10" s="31" t="n">
        <v>1</v>
      </c>
      <c r="Y10" s="20">
        <f>SUM(K10:X10)</f>
        <v/>
      </c>
      <c r="Z10" s="33">
        <f>G10-Y10</f>
        <v/>
      </c>
      <c r="AA10" s="48">
        <f>INDEX($K$3:$X$3, MATCH(MAX(K10:X10), K10:X10, 0))</f>
        <v/>
      </c>
      <c r="AB10" s="49">
        <f>LARGE(K10:X10, 1) - LARGE(K10:X10, 2)</f>
        <v/>
      </c>
    </row>
    <row r="11" ht="19" customHeight="1">
      <c r="A11" s="34" t="n">
        <v>8</v>
      </c>
      <c r="B11" s="35" t="inlineStr">
        <is>
          <t>PRATHMIK VIDYALAYA ROOM NO. 1 MADHTI</t>
        </is>
      </c>
      <c r="C11" s="36" t="n">
        <v>1495</v>
      </c>
      <c r="D11" s="36" t="n">
        <v>605</v>
      </c>
      <c r="E11" s="36" t="n">
        <v>556</v>
      </c>
      <c r="F11" s="36" t="n">
        <v>0</v>
      </c>
      <c r="G11" s="36" t="n">
        <v>1161</v>
      </c>
      <c r="H11" s="37">
        <f>G11/C11</f>
        <v/>
      </c>
      <c r="I11" s="36" t="n">
        <v>0</v>
      </c>
      <c r="J11" s="36" t="n">
        <v>0</v>
      </c>
      <c r="K11" s="36" t="n">
        <v>7</v>
      </c>
      <c r="L11" s="36" t="n">
        <v>475</v>
      </c>
      <c r="M11" s="36" t="n">
        <v>405</v>
      </c>
      <c r="N11" s="36" t="n">
        <v>224</v>
      </c>
      <c r="O11" s="36" t="n">
        <v>4</v>
      </c>
      <c r="P11" s="36" t="n">
        <v>3</v>
      </c>
      <c r="Q11" s="36" t="n">
        <v>4</v>
      </c>
      <c r="R11" s="36" t="n">
        <v>4</v>
      </c>
      <c r="S11" s="36" t="n">
        <v>2</v>
      </c>
      <c r="T11" s="36" t="n">
        <v>3</v>
      </c>
      <c r="U11" s="36" t="n">
        <v>5</v>
      </c>
      <c r="V11" s="36" t="n">
        <v>5</v>
      </c>
      <c r="W11" s="36" t="n">
        <v>10</v>
      </c>
      <c r="X11" s="36" t="n">
        <v>10</v>
      </c>
      <c r="Y11" s="38">
        <f>SUM(K11:X11)</f>
        <v/>
      </c>
      <c r="Z11" s="39">
        <f>G11-Y11</f>
        <v/>
      </c>
      <c r="AA11" s="50">
        <f>INDEX($K$3:$X$3, MATCH(MAX(K11:X11), K11:X11, 0))</f>
        <v/>
      </c>
      <c r="AB11" s="51">
        <f>LARGE(K11:X11, 1) - LARGE(K11:X11, 2)</f>
        <v/>
      </c>
    </row>
    <row r="12" ht="19" customHeight="1">
      <c r="A12" s="18" t="n">
        <v>9</v>
      </c>
      <c r="B12" s="19" t="inlineStr">
        <is>
          <t>PRATHMIK VIDYALAYA ROOM NO. 2 MADHTI</t>
        </is>
      </c>
      <c r="C12" s="31" t="n">
        <v>1137</v>
      </c>
      <c r="D12" s="31" t="n">
        <v>520</v>
      </c>
      <c r="E12" s="31" t="n">
        <v>439</v>
      </c>
      <c r="F12" s="31" t="n">
        <v>0</v>
      </c>
      <c r="G12" s="31" t="n">
        <v>959</v>
      </c>
      <c r="H12" s="32">
        <f>G12/C12</f>
        <v/>
      </c>
      <c r="I12" s="31" t="n">
        <v>0</v>
      </c>
      <c r="J12" s="31" t="n">
        <v>0</v>
      </c>
      <c r="K12" s="31" t="n">
        <v>4</v>
      </c>
      <c r="L12" s="31" t="n">
        <v>295</v>
      </c>
      <c r="M12" s="31" t="n">
        <v>605</v>
      </c>
      <c r="N12" s="31" t="n">
        <v>17</v>
      </c>
      <c r="O12" s="31" t="n">
        <v>1</v>
      </c>
      <c r="P12" s="31" t="n">
        <v>1</v>
      </c>
      <c r="Q12" s="31" t="n">
        <v>0</v>
      </c>
      <c r="R12" s="31" t="n">
        <v>2</v>
      </c>
      <c r="S12" s="31" t="n">
        <v>0</v>
      </c>
      <c r="T12" s="31" t="n">
        <v>2</v>
      </c>
      <c r="U12" s="31" t="n">
        <v>3</v>
      </c>
      <c r="V12" s="31" t="n">
        <v>13</v>
      </c>
      <c r="W12" s="31" t="n">
        <v>5</v>
      </c>
      <c r="X12" s="31" t="n">
        <v>11</v>
      </c>
      <c r="Y12" s="20">
        <f>SUM(K12:X12)</f>
        <v/>
      </c>
      <c r="Z12" s="33">
        <f>G12-Y12</f>
        <v/>
      </c>
      <c r="AA12" s="48">
        <f>INDEX($K$3:$X$3, MATCH(MAX(K12:X12), K12:X12, 0))</f>
        <v/>
      </c>
      <c r="AB12" s="49">
        <f>LARGE(K12:X12, 1) - LARGE(K12:X12, 2)</f>
        <v/>
      </c>
    </row>
    <row r="13" ht="19" customHeight="1">
      <c r="A13" s="34" t="n">
        <v>10</v>
      </c>
      <c r="B13" s="35" t="inlineStr">
        <is>
          <t>PRATHMIK VIDYALAYA ROOM NO. 1 KHERI MUSTAHAKAM</t>
        </is>
      </c>
      <c r="C13" s="36" t="n">
        <v>1374</v>
      </c>
      <c r="D13" s="36" t="n">
        <v>531</v>
      </c>
      <c r="E13" s="36" t="n">
        <v>536</v>
      </c>
      <c r="F13" s="36" t="n">
        <v>0</v>
      </c>
      <c r="G13" s="36" t="n">
        <v>1067</v>
      </c>
      <c r="H13" s="37">
        <f>G13/C13</f>
        <v/>
      </c>
      <c r="I13" s="36" t="n">
        <v>0</v>
      </c>
      <c r="J13" s="36" t="n">
        <v>0</v>
      </c>
      <c r="K13" s="36" t="n">
        <v>4</v>
      </c>
      <c r="L13" s="36" t="n">
        <v>174</v>
      </c>
      <c r="M13" s="36" t="n">
        <v>491</v>
      </c>
      <c r="N13" s="36" t="n">
        <v>358</v>
      </c>
      <c r="O13" s="36" t="n">
        <v>7</v>
      </c>
      <c r="P13" s="36" t="n">
        <v>7</v>
      </c>
      <c r="Q13" s="36" t="n">
        <v>1</v>
      </c>
      <c r="R13" s="36" t="n">
        <v>3</v>
      </c>
      <c r="S13" s="36" t="n">
        <v>0</v>
      </c>
      <c r="T13" s="36" t="n">
        <v>3</v>
      </c>
      <c r="U13" s="36" t="n">
        <v>4</v>
      </c>
      <c r="V13" s="36" t="n">
        <v>6</v>
      </c>
      <c r="W13" s="36" t="n">
        <v>5</v>
      </c>
      <c r="X13" s="36" t="n">
        <v>4</v>
      </c>
      <c r="Y13" s="38">
        <f>SUM(K13:X13)</f>
        <v/>
      </c>
      <c r="Z13" s="39">
        <f>G13-Y13</f>
        <v/>
      </c>
      <c r="AA13" s="50">
        <f>INDEX($K$3:$X$3, MATCH(MAX(K13:X13), K13:X13, 0))</f>
        <v/>
      </c>
      <c r="AB13" s="51">
        <f>LARGE(K13:X13, 1) - LARGE(K13:X13, 2)</f>
        <v/>
      </c>
    </row>
    <row r="14" ht="19" customHeight="1">
      <c r="A14" s="18" t="n">
        <v>11</v>
      </c>
      <c r="B14" s="19" t="inlineStr">
        <is>
          <t>PRATHMIK VIDYALAYA ROOM NO. 2 KHERI MUSTAHAKAM</t>
        </is>
      </c>
      <c r="C14" s="31" t="n">
        <v>364</v>
      </c>
      <c r="D14" s="31" t="n">
        <v>150</v>
      </c>
      <c r="E14" s="31" t="n">
        <v>152</v>
      </c>
      <c r="F14" s="31" t="n">
        <v>0</v>
      </c>
      <c r="G14" s="31" t="n">
        <v>302</v>
      </c>
      <c r="H14" s="32">
        <f>G14/C14</f>
        <v/>
      </c>
      <c r="I14" s="31" t="n">
        <v>0</v>
      </c>
      <c r="J14" s="31" t="n">
        <v>0</v>
      </c>
      <c r="K14" s="31" t="n">
        <v>4</v>
      </c>
      <c r="L14" s="31" t="n">
        <v>269</v>
      </c>
      <c r="M14" s="31" t="n">
        <v>4</v>
      </c>
      <c r="N14" s="31" t="n">
        <v>16</v>
      </c>
      <c r="O14" s="31" t="n">
        <v>2</v>
      </c>
      <c r="P14" s="31" t="n">
        <v>0</v>
      </c>
      <c r="Q14" s="31" t="n">
        <v>0</v>
      </c>
      <c r="R14" s="31" t="n">
        <v>1</v>
      </c>
      <c r="S14" s="31" t="n">
        <v>0</v>
      </c>
      <c r="T14" s="31" t="n">
        <v>0</v>
      </c>
      <c r="U14" s="31" t="n">
        <v>1</v>
      </c>
      <c r="V14" s="31" t="n">
        <v>0</v>
      </c>
      <c r="W14" s="31" t="n">
        <v>2</v>
      </c>
      <c r="X14" s="31" t="n">
        <v>3</v>
      </c>
      <c r="Y14" s="20">
        <f>SUM(K14:X14)</f>
        <v/>
      </c>
      <c r="Z14" s="33">
        <f>G14-Y14</f>
        <v/>
      </c>
      <c r="AA14" s="48">
        <f>INDEX($K$3:$X$3, MATCH(MAX(K14:X14), K14:X14, 0))</f>
        <v/>
      </c>
      <c r="AB14" s="49">
        <f>LARGE(K14:X14, 1) - LARGE(K14:X14, 2)</f>
        <v/>
      </c>
    </row>
    <row r="15" ht="19" customHeight="1">
      <c r="A15" s="34" t="n">
        <v>12</v>
      </c>
      <c r="B15" s="35" t="inlineStr">
        <is>
          <t>PRATHMIK VIDYALAYA ROOM NO. 1 AKABERPUR BANS</t>
        </is>
      </c>
      <c r="C15" s="36" t="n">
        <v>904</v>
      </c>
      <c r="D15" s="36" t="n">
        <v>400</v>
      </c>
      <c r="E15" s="36" t="n">
        <v>343</v>
      </c>
      <c r="F15" s="36" t="n">
        <v>0</v>
      </c>
      <c r="G15" s="36" t="n">
        <v>743</v>
      </c>
      <c r="H15" s="37">
        <f>G15/C15</f>
        <v/>
      </c>
      <c r="I15" s="36" t="n">
        <v>0</v>
      </c>
      <c r="J15" s="36" t="n">
        <v>0</v>
      </c>
      <c r="K15" s="36" t="n">
        <v>2</v>
      </c>
      <c r="L15" s="36" t="n">
        <v>59</v>
      </c>
      <c r="M15" s="36" t="n">
        <v>209</v>
      </c>
      <c r="N15" s="36" t="n">
        <v>425</v>
      </c>
      <c r="O15" s="36" t="n">
        <v>7</v>
      </c>
      <c r="P15" s="36" t="n">
        <v>1</v>
      </c>
      <c r="Q15" s="36" t="n">
        <v>1</v>
      </c>
      <c r="R15" s="36" t="n">
        <v>12</v>
      </c>
      <c r="S15" s="36" t="n">
        <v>0</v>
      </c>
      <c r="T15" s="36" t="n">
        <v>5</v>
      </c>
      <c r="U15" s="36" t="n">
        <v>9</v>
      </c>
      <c r="V15" s="36" t="n">
        <v>3</v>
      </c>
      <c r="W15" s="36" t="n">
        <v>6</v>
      </c>
      <c r="X15" s="36" t="n">
        <v>4</v>
      </c>
      <c r="Y15" s="38">
        <f>SUM(K15:X15)</f>
        <v/>
      </c>
      <c r="Z15" s="39">
        <f>G15-Y15</f>
        <v/>
      </c>
      <c r="AA15" s="50">
        <f>INDEX($K$3:$X$3, MATCH(MAX(K15:X15), K15:X15, 0))</f>
        <v/>
      </c>
      <c r="AB15" s="51">
        <f>LARGE(K15:X15, 1) - LARGE(K15:X15, 2)</f>
        <v/>
      </c>
    </row>
    <row r="16" ht="19" customHeight="1">
      <c r="A16" s="18" t="n">
        <v>13</v>
      </c>
      <c r="B16" s="19" t="inlineStr">
        <is>
          <t>PRATHMIK VIDYALAYA ROOM NO. 1 SHAHPUR BANS</t>
        </is>
      </c>
      <c r="C16" s="31" t="n">
        <v>1004</v>
      </c>
      <c r="D16" s="31" t="n">
        <v>450</v>
      </c>
      <c r="E16" s="31" t="n">
        <v>391</v>
      </c>
      <c r="F16" s="31" t="n">
        <v>0</v>
      </c>
      <c r="G16" s="31" t="n">
        <v>841</v>
      </c>
      <c r="H16" s="32">
        <f>G16/C16</f>
        <v/>
      </c>
      <c r="I16" s="31" t="n">
        <v>241</v>
      </c>
      <c r="J16" s="31" t="n">
        <v>0</v>
      </c>
      <c r="K16" s="31" t="n">
        <v>5</v>
      </c>
      <c r="L16" s="31" t="n">
        <v>308</v>
      </c>
      <c r="M16" s="31" t="n">
        <v>136</v>
      </c>
      <c r="N16" s="31" t="n">
        <v>347</v>
      </c>
      <c r="O16" s="31" t="n">
        <v>8</v>
      </c>
      <c r="P16" s="31" t="n">
        <v>1</v>
      </c>
      <c r="Q16" s="31" t="n">
        <v>2</v>
      </c>
      <c r="R16" s="31" t="n">
        <v>2</v>
      </c>
      <c r="S16" s="31" t="n">
        <v>1</v>
      </c>
      <c r="T16" s="31" t="n">
        <v>5</v>
      </c>
      <c r="U16" s="31" t="n">
        <v>9</v>
      </c>
      <c r="V16" s="31" t="n">
        <v>2</v>
      </c>
      <c r="W16" s="31" t="n">
        <v>8</v>
      </c>
      <c r="X16" s="31" t="n">
        <v>7</v>
      </c>
      <c r="Y16" s="20">
        <f>SUM(K16:X16)</f>
        <v/>
      </c>
      <c r="Z16" s="33">
        <f>G16-Y16</f>
        <v/>
      </c>
      <c r="AA16" s="48">
        <f>INDEX($K$3:$X$3, MATCH(MAX(K16:X16), K16:X16, 0))</f>
        <v/>
      </c>
      <c r="AB16" s="49">
        <f>LARGE(K16:X16, 1) - LARGE(K16:X16, 2)</f>
        <v/>
      </c>
    </row>
    <row r="17" ht="19" customHeight="1">
      <c r="A17" s="34" t="n">
        <v>14</v>
      </c>
      <c r="B17" s="35" t="inlineStr">
        <is>
          <t>PRATHMIK VIDYALAYA ROOM NO. 1 ALAUDDINPUR BANS</t>
        </is>
      </c>
      <c r="C17" s="36" t="n">
        <v>537</v>
      </c>
      <c r="D17" s="36" t="n">
        <v>245</v>
      </c>
      <c r="E17" s="36" t="n">
        <v>213</v>
      </c>
      <c r="F17" s="36" t="n">
        <v>0</v>
      </c>
      <c r="G17" s="36" t="n">
        <v>458</v>
      </c>
      <c r="H17" s="37">
        <f>G17/C17</f>
        <v/>
      </c>
      <c r="I17" s="36" t="n">
        <v>6</v>
      </c>
      <c r="J17" s="36" t="n">
        <v>0</v>
      </c>
      <c r="K17" s="36" t="n">
        <v>1</v>
      </c>
      <c r="L17" s="36" t="n">
        <v>104</v>
      </c>
      <c r="M17" s="36" t="n">
        <v>335</v>
      </c>
      <c r="N17" s="36" t="n">
        <v>4</v>
      </c>
      <c r="O17" s="36" t="n">
        <v>1</v>
      </c>
      <c r="P17" s="36" t="n">
        <v>1</v>
      </c>
      <c r="Q17" s="36" t="n">
        <v>1</v>
      </c>
      <c r="R17" s="36" t="n">
        <v>3</v>
      </c>
      <c r="S17" s="36" t="n">
        <v>1</v>
      </c>
      <c r="T17" s="36" t="n">
        <v>1</v>
      </c>
      <c r="U17" s="36" t="n">
        <v>1</v>
      </c>
      <c r="V17" s="36" t="n">
        <v>1</v>
      </c>
      <c r="W17" s="36" t="n">
        <v>0</v>
      </c>
      <c r="X17" s="36" t="n">
        <v>4</v>
      </c>
      <c r="Y17" s="38">
        <f>SUM(K17:X17)</f>
        <v/>
      </c>
      <c r="Z17" s="39">
        <f>G17-Y17</f>
        <v/>
      </c>
      <c r="AA17" s="50">
        <f>INDEX($K$3:$X$3, MATCH(MAX(K17:X17), K17:X17, 0))</f>
        <v/>
      </c>
      <c r="AB17" s="51">
        <f>LARGE(K17:X17, 1) - LARGE(K17:X17, 2)</f>
        <v/>
      </c>
    </row>
    <row r="18" ht="19" customHeight="1">
      <c r="A18" s="18" t="n">
        <v>15</v>
      </c>
      <c r="B18" s="19" t="inlineStr">
        <is>
          <t>PRATHMIK VIDYALAYA ROOM NO. 1 MAHMOODPUR NAGLI</t>
        </is>
      </c>
      <c r="C18" s="31" t="n">
        <v>1173</v>
      </c>
      <c r="D18" s="31" t="n">
        <v>490</v>
      </c>
      <c r="E18" s="31" t="n">
        <v>427</v>
      </c>
      <c r="F18" s="31" t="n">
        <v>0</v>
      </c>
      <c r="G18" s="31" t="n">
        <v>917</v>
      </c>
      <c r="H18" s="32">
        <f>G18/C18</f>
        <v/>
      </c>
      <c r="I18" s="31" t="n">
        <v>2</v>
      </c>
      <c r="J18" s="31" t="n">
        <v>0</v>
      </c>
      <c r="K18" s="31" t="n">
        <v>4</v>
      </c>
      <c r="L18" s="31" t="n">
        <v>451</v>
      </c>
      <c r="M18" s="31" t="n">
        <v>84</v>
      </c>
      <c r="N18" s="31" t="n">
        <v>335</v>
      </c>
      <c r="O18" s="31" t="n">
        <v>10</v>
      </c>
      <c r="P18" s="31" t="n">
        <v>5</v>
      </c>
      <c r="Q18" s="31" t="n">
        <v>2</v>
      </c>
      <c r="R18" s="31" t="n">
        <v>0</v>
      </c>
      <c r="S18" s="31" t="n">
        <v>1</v>
      </c>
      <c r="T18" s="31" t="n">
        <v>1</v>
      </c>
      <c r="U18" s="31" t="n">
        <v>7</v>
      </c>
      <c r="V18" s="31" t="n">
        <v>2</v>
      </c>
      <c r="W18" s="31" t="n">
        <v>12</v>
      </c>
      <c r="X18" s="31" t="n">
        <v>3</v>
      </c>
      <c r="Y18" s="20">
        <f>SUM(K18:X18)</f>
        <v/>
      </c>
      <c r="Z18" s="33">
        <f>G18-Y18</f>
        <v/>
      </c>
      <c r="AA18" s="48">
        <f>INDEX($K$3:$X$3, MATCH(MAX(K18:X18), K18:X18, 0))</f>
        <v/>
      </c>
      <c r="AB18" s="49">
        <f>LARGE(K18:X18, 1) - LARGE(K18:X18, 2)</f>
        <v/>
      </c>
    </row>
    <row r="19" ht="19" customHeight="1">
      <c r="A19" s="34" t="n">
        <v>16</v>
      </c>
      <c r="B19" s="35" t="inlineStr">
        <is>
          <t>PRATHMIK VIDYALAYA ROOM NO. 1 NITYNANDPUR</t>
        </is>
      </c>
      <c r="C19" s="36" t="n">
        <v>323</v>
      </c>
      <c r="D19" s="36" t="n">
        <v>147</v>
      </c>
      <c r="E19" s="36" t="n">
        <v>117</v>
      </c>
      <c r="F19" s="36" t="n">
        <v>0</v>
      </c>
      <c r="G19" s="36" t="n">
        <v>264</v>
      </c>
      <c r="H19" s="37">
        <f>G19/C19</f>
        <v/>
      </c>
      <c r="I19" s="36" t="n">
        <v>0</v>
      </c>
      <c r="J19" s="36" t="n">
        <v>0</v>
      </c>
      <c r="K19" s="36" t="n">
        <v>1</v>
      </c>
      <c r="L19" s="36" t="n">
        <v>60</v>
      </c>
      <c r="M19" s="36" t="n">
        <v>20</v>
      </c>
      <c r="N19" s="36" t="n">
        <v>169</v>
      </c>
      <c r="O19" s="36" t="n">
        <v>4</v>
      </c>
      <c r="P19" s="36" t="n">
        <v>2</v>
      </c>
      <c r="Q19" s="36" t="n">
        <v>0</v>
      </c>
      <c r="R19" s="36" t="n">
        <v>7</v>
      </c>
      <c r="S19" s="36" t="n">
        <v>0</v>
      </c>
      <c r="T19" s="36" t="n">
        <v>1</v>
      </c>
      <c r="U19" s="36" t="n">
        <v>0</v>
      </c>
      <c r="V19" s="36" t="n">
        <v>0</v>
      </c>
      <c r="W19" s="36" t="n">
        <v>0</v>
      </c>
      <c r="X19" s="36" t="n">
        <v>0</v>
      </c>
      <c r="Y19" s="38">
        <f>SUM(K19:X19)</f>
        <v/>
      </c>
      <c r="Z19" s="39">
        <f>G19-Y19</f>
        <v/>
      </c>
      <c r="AA19" s="50">
        <f>INDEX($K$3:$X$3, MATCH(MAX(K19:X19), K19:X19, 0))</f>
        <v/>
      </c>
      <c r="AB19" s="51">
        <f>LARGE(K19:X19, 1) - LARGE(K19:X19, 2)</f>
        <v/>
      </c>
    </row>
    <row r="20" ht="19" customHeight="1">
      <c r="A20" s="18" t="n">
        <v>17</v>
      </c>
      <c r="B20" s="19" t="inlineStr">
        <is>
          <t>PRATHMIK VIDYALAYA ROOM NO. 1 KASBAGARH</t>
        </is>
      </c>
      <c r="C20" s="31" t="n">
        <v>1444</v>
      </c>
      <c r="D20" s="31" t="n">
        <v>615</v>
      </c>
      <c r="E20" s="31" t="n">
        <v>505</v>
      </c>
      <c r="F20" s="31" t="n">
        <v>0</v>
      </c>
      <c r="G20" s="31" t="n">
        <v>1120</v>
      </c>
      <c r="H20" s="32">
        <f>G20/C20</f>
        <v/>
      </c>
      <c r="I20" s="31" t="n">
        <v>0</v>
      </c>
      <c r="J20" s="31" t="n">
        <v>0</v>
      </c>
      <c r="K20" s="31" t="n">
        <v>11</v>
      </c>
      <c r="L20" s="31" t="n">
        <v>658</v>
      </c>
      <c r="M20" s="31" t="n">
        <v>25</v>
      </c>
      <c r="N20" s="31" t="n">
        <v>367</v>
      </c>
      <c r="O20" s="31" t="n">
        <v>9</v>
      </c>
      <c r="P20" s="31" t="n">
        <v>10</v>
      </c>
      <c r="Q20" s="31" t="n">
        <v>3</v>
      </c>
      <c r="R20" s="31" t="n">
        <v>7</v>
      </c>
      <c r="S20" s="31" t="n">
        <v>0</v>
      </c>
      <c r="T20" s="31" t="n">
        <v>5</v>
      </c>
      <c r="U20" s="31" t="n">
        <v>1</v>
      </c>
      <c r="V20" s="31" t="n">
        <v>11</v>
      </c>
      <c r="W20" s="31" t="n">
        <v>1</v>
      </c>
      <c r="X20" s="31" t="n">
        <v>12</v>
      </c>
      <c r="Y20" s="20">
        <f>SUM(K20:X20)</f>
        <v/>
      </c>
      <c r="Z20" s="33">
        <f>G20-Y20</f>
        <v/>
      </c>
      <c r="AA20" s="48">
        <f>INDEX($K$3:$X$3, MATCH(MAX(K20:X20), K20:X20, 0))</f>
        <v/>
      </c>
      <c r="AB20" s="49">
        <f>LARGE(K20:X20, 1) - LARGE(K20:X20, 2)</f>
        <v/>
      </c>
    </row>
    <row r="21" ht="19" customHeight="1">
      <c r="A21" s="34" t="n">
        <v>18</v>
      </c>
      <c r="B21" s="35" t="inlineStr">
        <is>
          <t>PRATHMIK VIDYALAYA ROOM NO. 1 BARTHA KORSI</t>
        </is>
      </c>
      <c r="C21" s="36" t="n">
        <v>380</v>
      </c>
      <c r="D21" s="36" t="n">
        <v>182</v>
      </c>
      <c r="E21" s="36" t="n">
        <v>146</v>
      </c>
      <c r="F21" s="36" t="n">
        <v>0</v>
      </c>
      <c r="G21" s="36" t="n">
        <v>328</v>
      </c>
      <c r="H21" s="37">
        <f>G21/C21</f>
        <v/>
      </c>
      <c r="I21" s="36" t="n">
        <v>3</v>
      </c>
      <c r="J21" s="36" t="n">
        <v>0</v>
      </c>
      <c r="K21" s="36" t="n">
        <v>0</v>
      </c>
      <c r="L21" s="36" t="n">
        <v>49</v>
      </c>
      <c r="M21" s="36" t="n">
        <v>19</v>
      </c>
      <c r="N21" s="36" t="n">
        <v>255</v>
      </c>
      <c r="O21" s="36" t="n">
        <v>1</v>
      </c>
      <c r="P21" s="36" t="n">
        <v>0</v>
      </c>
      <c r="Q21" s="36" t="n">
        <v>0</v>
      </c>
      <c r="R21" s="36" t="n">
        <v>2</v>
      </c>
      <c r="S21" s="36" t="n">
        <v>0</v>
      </c>
      <c r="T21" s="36" t="n">
        <v>1</v>
      </c>
      <c r="U21" s="36" t="n">
        <v>0</v>
      </c>
      <c r="V21" s="36" t="n">
        <v>0</v>
      </c>
      <c r="W21" s="36" t="n">
        <v>0</v>
      </c>
      <c r="X21" s="36" t="n">
        <v>1</v>
      </c>
      <c r="Y21" s="38">
        <f>SUM(K21:X21)</f>
        <v/>
      </c>
      <c r="Z21" s="39">
        <f>G21-Y21</f>
        <v/>
      </c>
      <c r="AA21" s="50">
        <f>INDEX($K$3:$X$3, MATCH(MAX(K21:X21), K21:X21, 0))</f>
        <v/>
      </c>
      <c r="AB21" s="51">
        <f>LARGE(K21:X21, 1) - LARGE(K21:X21, 2)</f>
        <v/>
      </c>
    </row>
    <row r="22" ht="19" customHeight="1">
      <c r="A22" s="18" t="n">
        <v>19</v>
      </c>
      <c r="B22" s="19" t="inlineStr">
        <is>
          <t>PRATHMIK VIDYALAYA ROOM NO. 1 ASLAMPUR BARTHA</t>
        </is>
      </c>
      <c r="C22" s="31" t="n">
        <v>476</v>
      </c>
      <c r="D22" s="31" t="n">
        <v>200</v>
      </c>
      <c r="E22" s="31" t="n">
        <v>184</v>
      </c>
      <c r="F22" s="31" t="n">
        <v>0</v>
      </c>
      <c r="G22" s="31" t="n">
        <v>384</v>
      </c>
      <c r="H22" s="32">
        <f>G22/C22</f>
        <v/>
      </c>
      <c r="I22" s="31" t="n">
        <v>383</v>
      </c>
      <c r="J22" s="31" t="n">
        <v>0</v>
      </c>
      <c r="K22" s="31" t="n">
        <v>0</v>
      </c>
      <c r="L22" s="31" t="n">
        <v>138</v>
      </c>
      <c r="M22" s="31" t="n">
        <v>14</v>
      </c>
      <c r="N22" s="31" t="n">
        <v>214</v>
      </c>
      <c r="O22" s="31" t="n">
        <v>2</v>
      </c>
      <c r="P22" s="31" t="n">
        <v>3</v>
      </c>
      <c r="Q22" s="31" t="n">
        <v>0</v>
      </c>
      <c r="R22" s="31" t="n">
        <v>0</v>
      </c>
      <c r="S22" s="31" t="n">
        <v>0</v>
      </c>
      <c r="T22" s="31" t="n">
        <v>1</v>
      </c>
      <c r="U22" s="31" t="n">
        <v>2</v>
      </c>
      <c r="V22" s="31" t="n">
        <v>1</v>
      </c>
      <c r="W22" s="31" t="n">
        <v>7</v>
      </c>
      <c r="X22" s="31" t="n">
        <v>2</v>
      </c>
      <c r="Y22" s="20">
        <f>SUM(K22:X22)</f>
        <v/>
      </c>
      <c r="Z22" s="33">
        <f>G22-Y22</f>
        <v/>
      </c>
      <c r="AA22" s="48">
        <f>INDEX($K$3:$X$3, MATCH(MAX(K22:X22), K22:X22, 0))</f>
        <v/>
      </c>
      <c r="AB22" s="49">
        <f>LARGE(K22:X22, 1) - LARGE(K22:X22, 2)</f>
        <v/>
      </c>
    </row>
    <row r="23" ht="19" customHeight="1">
      <c r="A23" s="34" t="n">
        <v>20</v>
      </c>
      <c r="B23" s="35" t="inlineStr">
        <is>
          <t>PRATHMIK VIDYALAYA ROOM NO. 1 DHOLRA</t>
        </is>
      </c>
      <c r="C23" s="36" t="n">
        <v>703</v>
      </c>
      <c r="D23" s="36" t="n">
        <v>346</v>
      </c>
      <c r="E23" s="36" t="n">
        <v>295</v>
      </c>
      <c r="F23" s="36" t="n">
        <v>0</v>
      </c>
      <c r="G23" s="36" t="n">
        <v>641</v>
      </c>
      <c r="H23" s="37">
        <f>G23/C23</f>
        <v/>
      </c>
      <c r="I23" s="36" t="n">
        <v>0</v>
      </c>
      <c r="J23" s="36" t="n">
        <v>0</v>
      </c>
      <c r="K23" s="36" t="n">
        <v>2</v>
      </c>
      <c r="L23" s="36" t="n">
        <v>164</v>
      </c>
      <c r="M23" s="36" t="n">
        <v>162</v>
      </c>
      <c r="N23" s="36" t="n">
        <v>284</v>
      </c>
      <c r="O23" s="36" t="n">
        <v>4</v>
      </c>
      <c r="P23" s="36" t="n">
        <v>1</v>
      </c>
      <c r="Q23" s="36" t="n">
        <v>0</v>
      </c>
      <c r="R23" s="36" t="n">
        <v>2</v>
      </c>
      <c r="S23" s="36" t="n">
        <v>0</v>
      </c>
      <c r="T23" s="36" t="n">
        <v>4</v>
      </c>
      <c r="U23" s="36" t="n">
        <v>3</v>
      </c>
      <c r="V23" s="36" t="n">
        <v>1</v>
      </c>
      <c r="W23" s="36" t="n">
        <v>8</v>
      </c>
      <c r="X23" s="36" t="n">
        <v>6</v>
      </c>
      <c r="Y23" s="38">
        <f>SUM(K23:X23)</f>
        <v/>
      </c>
      <c r="Z23" s="39">
        <f>G23-Y23</f>
        <v/>
      </c>
      <c r="AA23" s="50">
        <f>INDEX($K$3:$X$3, MATCH(MAX(K23:X23), K23:X23, 0))</f>
        <v/>
      </c>
      <c r="AB23" s="51">
        <f>LARGE(K23:X23, 1) - LARGE(K23:X23, 2)</f>
        <v/>
      </c>
    </row>
    <row r="24" ht="19" customHeight="1">
      <c r="A24" s="18" t="n">
        <v>21</v>
      </c>
      <c r="B24" s="19" t="inlineStr">
        <is>
          <t>PRATHMIK VIDYALAYA ROOM NO. 1 JODHABANS</t>
        </is>
      </c>
      <c r="C24" s="31" t="n">
        <v>468</v>
      </c>
      <c r="D24" s="31" t="n">
        <v>221</v>
      </c>
      <c r="E24" s="31" t="n">
        <v>189</v>
      </c>
      <c r="F24" s="31" t="n">
        <v>0</v>
      </c>
      <c r="G24" s="31" t="n">
        <v>410</v>
      </c>
      <c r="H24" s="32">
        <f>G24/C24</f>
        <v/>
      </c>
      <c r="I24" s="31" t="n">
        <v>0</v>
      </c>
      <c r="J24" s="31" t="n">
        <v>0</v>
      </c>
      <c r="K24" s="31" t="n">
        <v>0</v>
      </c>
      <c r="L24" s="31" t="n">
        <v>118</v>
      </c>
      <c r="M24" s="31" t="n">
        <v>69</v>
      </c>
      <c r="N24" s="31" t="n">
        <v>212</v>
      </c>
      <c r="O24" s="31" t="n">
        <v>0</v>
      </c>
      <c r="P24" s="31" t="n">
        <v>0</v>
      </c>
      <c r="Q24" s="31" t="n">
        <v>0</v>
      </c>
      <c r="R24" s="31" t="n">
        <v>3</v>
      </c>
      <c r="S24" s="31" t="n">
        <v>0</v>
      </c>
      <c r="T24" s="31" t="n">
        <v>1</v>
      </c>
      <c r="U24" s="31" t="n">
        <v>2</v>
      </c>
      <c r="V24" s="31" t="n">
        <v>0</v>
      </c>
      <c r="W24" s="31" t="n">
        <v>1</v>
      </c>
      <c r="X24" s="31" t="n">
        <v>4</v>
      </c>
      <c r="Y24" s="20">
        <f>SUM(K24:X24)</f>
        <v/>
      </c>
      <c r="Z24" s="33">
        <f>G24-Y24</f>
        <v/>
      </c>
      <c r="AA24" s="48">
        <f>INDEX($K$3:$X$3, MATCH(MAX(K24:X24), K24:X24, 0))</f>
        <v/>
      </c>
      <c r="AB24" s="49">
        <f>LARGE(K24:X24, 1) - LARGE(K24:X24, 2)</f>
        <v/>
      </c>
    </row>
    <row r="25" ht="19" customHeight="1">
      <c r="A25" s="34" t="n">
        <v>22</v>
      </c>
      <c r="B25" s="35" t="inlineStr">
        <is>
          <t>PRATHMIK VIDYALAYA ROOM NO. 1 TIDFOWA</t>
        </is>
      </c>
      <c r="C25" s="36" t="n">
        <v>1258</v>
      </c>
      <c r="D25" s="36" t="n">
        <v>547</v>
      </c>
      <c r="E25" s="36" t="n">
        <v>423</v>
      </c>
      <c r="F25" s="36" t="n">
        <v>0</v>
      </c>
      <c r="G25" s="36" t="n">
        <v>970</v>
      </c>
      <c r="H25" s="37">
        <f>G25/C25</f>
        <v/>
      </c>
      <c r="I25" s="36" t="n">
        <v>306</v>
      </c>
      <c r="J25" s="36" t="n">
        <v>0</v>
      </c>
      <c r="K25" s="36" t="n">
        <v>3</v>
      </c>
      <c r="L25" s="36" t="n">
        <v>362</v>
      </c>
      <c r="M25" s="36" t="n">
        <v>509</v>
      </c>
      <c r="N25" s="36" t="n">
        <v>43</v>
      </c>
      <c r="O25" s="36" t="n">
        <v>5</v>
      </c>
      <c r="P25" s="36" t="n">
        <v>5</v>
      </c>
      <c r="Q25" s="36" t="n">
        <v>0</v>
      </c>
      <c r="R25" s="36" t="n">
        <v>23</v>
      </c>
      <c r="S25" s="36" t="n">
        <v>0</v>
      </c>
      <c r="T25" s="36" t="n">
        <v>0</v>
      </c>
      <c r="U25" s="36" t="n">
        <v>1</v>
      </c>
      <c r="V25" s="36" t="n">
        <v>5</v>
      </c>
      <c r="W25" s="36" t="n">
        <v>8</v>
      </c>
      <c r="X25" s="36" t="n">
        <v>6</v>
      </c>
      <c r="Y25" s="38">
        <f>SUM(K25:X25)</f>
        <v/>
      </c>
      <c r="Z25" s="39">
        <f>G25-Y25</f>
        <v/>
      </c>
      <c r="AA25" s="50">
        <f>INDEX($K$3:$X$3, MATCH(MAX(K25:X25), K25:X25, 0))</f>
        <v/>
      </c>
      <c r="AB25" s="51">
        <f>LARGE(K25:X25, 1) - LARGE(K25:X25, 2)</f>
        <v/>
      </c>
    </row>
    <row r="26" ht="19" customHeight="1">
      <c r="A26" s="18" t="n">
        <v>23</v>
      </c>
      <c r="B26" s="19" t="inlineStr">
        <is>
          <t>PURVA MADHYAMIK VIDYALAYA ROOM NO. 1 NUNIYARI</t>
        </is>
      </c>
      <c r="C26" s="31" t="n">
        <v>679</v>
      </c>
      <c r="D26" s="31" t="n">
        <v>324</v>
      </c>
      <c r="E26" s="31" t="n">
        <v>272</v>
      </c>
      <c r="F26" s="31" t="n">
        <v>0</v>
      </c>
      <c r="G26" s="31" t="n">
        <v>596</v>
      </c>
      <c r="H26" s="32">
        <f>G26/C26</f>
        <v/>
      </c>
      <c r="I26" s="31" t="n">
        <v>0</v>
      </c>
      <c r="J26" s="31" t="n">
        <v>0</v>
      </c>
      <c r="K26" s="31" t="n">
        <v>0</v>
      </c>
      <c r="L26" s="31" t="n">
        <v>160</v>
      </c>
      <c r="M26" s="31" t="n">
        <v>17</v>
      </c>
      <c r="N26" s="31" t="n">
        <v>396</v>
      </c>
      <c r="O26" s="31" t="n">
        <v>9</v>
      </c>
      <c r="P26" s="31" t="n">
        <v>0</v>
      </c>
      <c r="Q26" s="31" t="n">
        <v>0</v>
      </c>
      <c r="R26" s="31" t="n">
        <v>3</v>
      </c>
      <c r="S26" s="31" t="n">
        <v>0</v>
      </c>
      <c r="T26" s="31" t="n">
        <v>1</v>
      </c>
      <c r="U26" s="31" t="n">
        <v>3</v>
      </c>
      <c r="V26" s="31" t="n">
        <v>1</v>
      </c>
      <c r="W26" s="31" t="n">
        <v>1</v>
      </c>
      <c r="X26" s="31" t="n">
        <v>5</v>
      </c>
      <c r="Y26" s="20">
        <f>SUM(K26:X26)</f>
        <v/>
      </c>
      <c r="Z26" s="33">
        <f>G26-Y26</f>
        <v/>
      </c>
      <c r="AA26" s="48">
        <f>INDEX($K$3:$X$3, MATCH(MAX(K26:X26), K26:X26, 0))</f>
        <v/>
      </c>
      <c r="AB26" s="49">
        <f>LARGE(K26:X26, 1) - LARGE(K26:X26, 2)</f>
        <v/>
      </c>
    </row>
    <row r="27" ht="19" customHeight="1">
      <c r="A27" s="34" t="n">
        <v>24</v>
      </c>
      <c r="B27" s="35" t="inlineStr">
        <is>
          <t>PRATHMIK VIDYALAYA ROOM NO. 1 KANSEPUR</t>
        </is>
      </c>
      <c r="C27" s="36" t="n">
        <v>994</v>
      </c>
      <c r="D27" s="36" t="n">
        <v>426</v>
      </c>
      <c r="E27" s="36" t="n">
        <v>384</v>
      </c>
      <c r="F27" s="36" t="n">
        <v>0</v>
      </c>
      <c r="G27" s="36" t="n">
        <v>810</v>
      </c>
      <c r="H27" s="37">
        <f>G27/C27</f>
        <v/>
      </c>
      <c r="I27" s="36" t="n">
        <v>5</v>
      </c>
      <c r="J27" s="36" t="n">
        <v>0</v>
      </c>
      <c r="K27" s="36" t="n">
        <v>2</v>
      </c>
      <c r="L27" s="36" t="n">
        <v>345</v>
      </c>
      <c r="M27" s="36" t="n">
        <v>18</v>
      </c>
      <c r="N27" s="36" t="n">
        <v>394</v>
      </c>
      <c r="O27" s="36" t="n">
        <v>8</v>
      </c>
      <c r="P27" s="36" t="n">
        <v>3</v>
      </c>
      <c r="Q27" s="36" t="n">
        <v>1</v>
      </c>
      <c r="R27" s="36" t="n">
        <v>23</v>
      </c>
      <c r="S27" s="36" t="n">
        <v>1</v>
      </c>
      <c r="T27" s="36" t="n">
        <v>0</v>
      </c>
      <c r="U27" s="36" t="n">
        <v>3</v>
      </c>
      <c r="V27" s="36" t="n">
        <v>1</v>
      </c>
      <c r="W27" s="36" t="n">
        <v>6</v>
      </c>
      <c r="X27" s="36" t="n">
        <v>5</v>
      </c>
      <c r="Y27" s="38">
        <f>SUM(K27:X27)</f>
        <v/>
      </c>
      <c r="Z27" s="39">
        <f>G27-Y27</f>
        <v/>
      </c>
      <c r="AA27" s="50">
        <f>INDEX($K$3:$X$3, MATCH(MAX(K27:X27), K27:X27, 0))</f>
        <v/>
      </c>
      <c r="AB27" s="51">
        <f>LARGE(K27:X27, 1) - LARGE(K27:X27, 2)</f>
        <v/>
      </c>
    </row>
    <row r="28" ht="19" customHeight="1">
      <c r="A28" s="18" t="n">
        <v>25</v>
      </c>
      <c r="B28" s="19" t="inlineStr">
        <is>
          <t>SHAEED BINDRAPAL PURVA MADHYMIK VIDYALAYA ROOM NO. 1 BAHARAMPUR</t>
        </is>
      </c>
      <c r="C28" s="31" t="n">
        <v>742</v>
      </c>
      <c r="D28" s="31" t="n">
        <v>331</v>
      </c>
      <c r="E28" s="31" t="n">
        <v>280</v>
      </c>
      <c r="F28" s="31" t="n">
        <v>0</v>
      </c>
      <c r="G28" s="31" t="n">
        <v>611</v>
      </c>
      <c r="H28" s="32">
        <f>G28/C28</f>
        <v/>
      </c>
      <c r="I28" s="31" t="n">
        <v>11</v>
      </c>
      <c r="J28" s="31" t="n">
        <v>0</v>
      </c>
      <c r="K28" s="31" t="n">
        <v>1</v>
      </c>
      <c r="L28" s="31" t="n">
        <v>89</v>
      </c>
      <c r="M28" s="31" t="n">
        <v>102</v>
      </c>
      <c r="N28" s="31" t="n">
        <v>381</v>
      </c>
      <c r="O28" s="31" t="n">
        <v>4</v>
      </c>
      <c r="P28" s="31" t="n">
        <v>0</v>
      </c>
      <c r="Q28" s="31" t="n">
        <v>2</v>
      </c>
      <c r="R28" s="31" t="n">
        <v>24</v>
      </c>
      <c r="S28" s="31" t="n">
        <v>2</v>
      </c>
      <c r="T28" s="31" t="n">
        <v>1</v>
      </c>
      <c r="U28" s="31" t="n">
        <v>1</v>
      </c>
      <c r="V28" s="31" t="n">
        <v>1</v>
      </c>
      <c r="W28" s="31" t="n">
        <v>2</v>
      </c>
      <c r="X28" s="31" t="n">
        <v>1</v>
      </c>
      <c r="Y28" s="20">
        <f>SUM(K28:X28)</f>
        <v/>
      </c>
      <c r="Z28" s="33">
        <f>G28-Y28</f>
        <v/>
      </c>
      <c r="AA28" s="48">
        <f>INDEX($K$3:$X$3, MATCH(MAX(K28:X28), K28:X28, 0))</f>
        <v/>
      </c>
      <c r="AB28" s="49">
        <f>LARGE(K28:X28, 1) - LARGE(K28:X28, 2)</f>
        <v/>
      </c>
    </row>
    <row r="29" ht="19" customHeight="1">
      <c r="A29" s="34" t="n">
        <v>26</v>
      </c>
      <c r="B29" s="35" t="inlineStr">
        <is>
          <t>PRATHMIK VIDYALAYA ROOM NO. 1 SHEKHPURA</t>
        </is>
      </c>
      <c r="C29" s="36" t="n">
        <v>521</v>
      </c>
      <c r="D29" s="36" t="n">
        <v>248</v>
      </c>
      <c r="E29" s="36" t="n">
        <v>190</v>
      </c>
      <c r="F29" s="36" t="n">
        <v>0</v>
      </c>
      <c r="G29" s="36" t="n">
        <v>438</v>
      </c>
      <c r="H29" s="37">
        <f>G29/C29</f>
        <v/>
      </c>
      <c r="I29" s="36" t="n">
        <v>19</v>
      </c>
      <c r="J29" s="36" t="n">
        <v>0</v>
      </c>
      <c r="K29" s="36" t="n">
        <v>0</v>
      </c>
      <c r="L29" s="36" t="n">
        <v>41</v>
      </c>
      <c r="M29" s="36" t="n">
        <v>10</v>
      </c>
      <c r="N29" s="36" t="n">
        <v>371</v>
      </c>
      <c r="O29" s="36" t="n">
        <v>1</v>
      </c>
      <c r="P29" s="36" t="n">
        <v>4</v>
      </c>
      <c r="Q29" s="36" t="n">
        <v>0</v>
      </c>
      <c r="R29" s="36" t="n">
        <v>2</v>
      </c>
      <c r="S29" s="36" t="n">
        <v>0</v>
      </c>
      <c r="T29" s="36" t="n">
        <v>0</v>
      </c>
      <c r="U29" s="36" t="n">
        <v>2</v>
      </c>
      <c r="V29" s="36" t="n">
        <v>4</v>
      </c>
      <c r="W29" s="36" t="n">
        <v>2</v>
      </c>
      <c r="X29" s="36" t="n">
        <v>1</v>
      </c>
      <c r="Y29" s="38">
        <f>SUM(K29:X29)</f>
        <v/>
      </c>
      <c r="Z29" s="39">
        <f>G29-Y29</f>
        <v/>
      </c>
      <c r="AA29" s="50">
        <f>INDEX($K$3:$X$3, MATCH(MAX(K29:X29), K29:X29, 0))</f>
        <v/>
      </c>
      <c r="AB29" s="51">
        <f>LARGE(K29:X29, 1) - LARGE(K29:X29, 2)</f>
        <v/>
      </c>
    </row>
    <row r="30" ht="19" customHeight="1">
      <c r="A30" s="18" t="n">
        <v>27</v>
      </c>
      <c r="B30" s="19" t="inlineStr">
        <is>
          <t>PRATHMIK VIDYALAYA ROOM NO. 2 SHEKHPURA</t>
        </is>
      </c>
      <c r="C30" s="31" t="n">
        <v>670</v>
      </c>
      <c r="D30" s="31" t="n">
        <v>302</v>
      </c>
      <c r="E30" s="31" t="n">
        <v>248</v>
      </c>
      <c r="F30" s="31" t="n">
        <v>0</v>
      </c>
      <c r="G30" s="31" t="n">
        <v>550</v>
      </c>
      <c r="H30" s="32">
        <f>G30/C30</f>
        <v/>
      </c>
      <c r="I30" s="31" t="n">
        <v>226</v>
      </c>
      <c r="J30" s="31" t="n">
        <v>0</v>
      </c>
      <c r="K30" s="31" t="n">
        <v>6</v>
      </c>
      <c r="L30" s="31" t="n">
        <v>472</v>
      </c>
      <c r="M30" s="31" t="n">
        <v>16</v>
      </c>
      <c r="N30" s="31" t="n">
        <v>36</v>
      </c>
      <c r="O30" s="31" t="n">
        <v>1</v>
      </c>
      <c r="P30" s="31" t="n">
        <v>3</v>
      </c>
      <c r="Q30" s="31" t="n">
        <v>0</v>
      </c>
      <c r="R30" s="31" t="n">
        <v>1</v>
      </c>
      <c r="S30" s="31" t="n">
        <v>0</v>
      </c>
      <c r="T30" s="31" t="n">
        <v>2</v>
      </c>
      <c r="U30" s="31" t="n">
        <v>0</v>
      </c>
      <c r="V30" s="31" t="n">
        <v>0</v>
      </c>
      <c r="W30" s="31" t="n">
        <v>5</v>
      </c>
      <c r="X30" s="31" t="n">
        <v>8</v>
      </c>
      <c r="Y30" s="20">
        <f>SUM(K30:X30)</f>
        <v/>
      </c>
      <c r="Z30" s="33">
        <f>G30-Y30</f>
        <v/>
      </c>
      <c r="AA30" s="48">
        <f>INDEX($K$3:$X$3, MATCH(MAX(K30:X30), K30:X30, 0))</f>
        <v/>
      </c>
      <c r="AB30" s="49">
        <f>LARGE(K30:X30, 1) - LARGE(K30:X30, 2)</f>
        <v/>
      </c>
    </row>
    <row r="31" ht="19" customHeight="1">
      <c r="A31" s="34" t="n">
        <v>28</v>
      </c>
      <c r="B31" s="35" t="inlineStr">
        <is>
          <t>PRATHMIK VIDYALAYA ROOM NO. 3 SHEKHPURA</t>
        </is>
      </c>
      <c r="C31" s="36" t="n">
        <v>1124</v>
      </c>
      <c r="D31" s="36" t="n">
        <v>454</v>
      </c>
      <c r="E31" s="36" t="n">
        <v>415</v>
      </c>
      <c r="F31" s="36" t="n">
        <v>0</v>
      </c>
      <c r="G31" s="36" t="n">
        <v>869</v>
      </c>
      <c r="H31" s="37">
        <f>G31/C31</f>
        <v/>
      </c>
      <c r="I31" s="36" t="n">
        <v>0</v>
      </c>
      <c r="J31" s="36" t="n">
        <v>0</v>
      </c>
      <c r="K31" s="36" t="n">
        <v>4</v>
      </c>
      <c r="L31" s="36" t="n">
        <v>196</v>
      </c>
      <c r="M31" s="36" t="n">
        <v>495</v>
      </c>
      <c r="N31" s="36" t="n">
        <v>149</v>
      </c>
      <c r="O31" s="36" t="n">
        <v>3</v>
      </c>
      <c r="P31" s="36" t="n">
        <v>0</v>
      </c>
      <c r="Q31" s="36" t="n">
        <v>1</v>
      </c>
      <c r="R31" s="36" t="n">
        <v>4</v>
      </c>
      <c r="S31" s="36" t="n">
        <v>4</v>
      </c>
      <c r="T31" s="36" t="n">
        <v>0</v>
      </c>
      <c r="U31" s="36" t="n">
        <v>3</v>
      </c>
      <c r="V31" s="36" t="n">
        <v>0</v>
      </c>
      <c r="W31" s="36" t="n">
        <v>3</v>
      </c>
      <c r="X31" s="36" t="n">
        <v>7</v>
      </c>
      <c r="Y31" s="38">
        <f>SUM(K31:X31)</f>
        <v/>
      </c>
      <c r="Z31" s="39">
        <f>G31-Y31</f>
        <v/>
      </c>
      <c r="AA31" s="50">
        <f>INDEX($K$3:$X$3, MATCH(MAX(K31:X31), K31:X31, 0))</f>
        <v/>
      </c>
      <c r="AB31" s="51">
        <f>LARGE(K31:X31, 1) - LARGE(K31:X31, 2)</f>
        <v/>
      </c>
    </row>
    <row r="32" ht="19" customHeight="1">
      <c r="A32" s="18" t="n">
        <v>29</v>
      </c>
      <c r="B32" s="19" t="inlineStr">
        <is>
          <t>PRATHMIK VIDYALAYA ROOM NO. 1 MANJHADI</t>
        </is>
      </c>
      <c r="C32" s="31" t="n">
        <v>701</v>
      </c>
      <c r="D32" s="31" t="n">
        <v>338</v>
      </c>
      <c r="E32" s="31" t="n">
        <v>286</v>
      </c>
      <c r="F32" s="31" t="n">
        <v>0</v>
      </c>
      <c r="G32" s="31" t="n">
        <v>624</v>
      </c>
      <c r="H32" s="32">
        <f>G32/C32</f>
        <v/>
      </c>
      <c r="I32" s="31" t="n">
        <v>301</v>
      </c>
      <c r="J32" s="31" t="n">
        <v>0</v>
      </c>
      <c r="K32" s="31" t="n">
        <v>1</v>
      </c>
      <c r="L32" s="31" t="n">
        <v>133</v>
      </c>
      <c r="M32" s="31" t="n">
        <v>310</v>
      </c>
      <c r="N32" s="31" t="n">
        <v>171</v>
      </c>
      <c r="O32" s="31" t="n">
        <v>2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1</v>
      </c>
      <c r="U32" s="31" t="n">
        <v>2</v>
      </c>
      <c r="V32" s="31" t="n">
        <v>2</v>
      </c>
      <c r="W32" s="31" t="n">
        <v>2</v>
      </c>
      <c r="X32" s="31" t="n">
        <v>0</v>
      </c>
      <c r="Y32" s="20">
        <f>SUM(K32:X32)</f>
        <v/>
      </c>
      <c r="Z32" s="33">
        <f>G32-Y32</f>
        <v/>
      </c>
      <c r="AA32" s="48">
        <f>INDEX($K$3:$X$3, MATCH(MAX(K32:X32), K32:X32, 0))</f>
        <v/>
      </c>
      <c r="AB32" s="49">
        <f>LARGE(K32:X32, 1) - LARGE(K32:X32, 2)</f>
        <v/>
      </c>
    </row>
    <row r="33" ht="19" customHeight="1">
      <c r="A33" s="34" t="n">
        <v>30</v>
      </c>
      <c r="B33" s="35" t="inlineStr">
        <is>
          <t>PRATHMIK VIDYALAYA ROOM NO. 1 NANOULI</t>
        </is>
      </c>
      <c r="C33" s="36" t="n">
        <v>1483</v>
      </c>
      <c r="D33" s="36" t="n">
        <v>636</v>
      </c>
      <c r="E33" s="36" t="n">
        <v>565</v>
      </c>
      <c r="F33" s="36" t="n">
        <v>0</v>
      </c>
      <c r="G33" s="36" t="n">
        <v>1201</v>
      </c>
      <c r="H33" s="37">
        <f>G33/C33</f>
        <v/>
      </c>
      <c r="I33" s="36" t="n">
        <v>80</v>
      </c>
      <c r="J33" s="36" t="n">
        <v>0</v>
      </c>
      <c r="K33" s="36" t="n">
        <v>3</v>
      </c>
      <c r="L33" s="36" t="n">
        <v>221</v>
      </c>
      <c r="M33" s="36" t="n">
        <v>763</v>
      </c>
      <c r="N33" s="36" t="n">
        <v>174</v>
      </c>
      <c r="O33" s="36" t="n">
        <v>6</v>
      </c>
      <c r="P33" s="36" t="n">
        <v>2</v>
      </c>
      <c r="Q33" s="36" t="n">
        <v>1</v>
      </c>
      <c r="R33" s="36" t="n">
        <v>3</v>
      </c>
      <c r="S33" s="36" t="n">
        <v>4</v>
      </c>
      <c r="T33" s="36" t="n">
        <v>3</v>
      </c>
      <c r="U33" s="36" t="n">
        <v>6</v>
      </c>
      <c r="V33" s="36" t="n">
        <v>4</v>
      </c>
      <c r="W33" s="36" t="n">
        <v>2</v>
      </c>
      <c r="X33" s="36" t="n">
        <v>9</v>
      </c>
      <c r="Y33" s="38">
        <f>SUM(K33:X33)</f>
        <v/>
      </c>
      <c r="Z33" s="39">
        <f>G33-Y33</f>
        <v/>
      </c>
      <c r="AA33" s="50">
        <f>INDEX($K$3:$X$3, MATCH(MAX(K33:X33), K33:X33, 0))</f>
        <v/>
      </c>
      <c r="AB33" s="51">
        <f>LARGE(K33:X33, 1) - LARGE(K33:X33, 2)</f>
        <v/>
      </c>
    </row>
    <row r="34" ht="19" customHeight="1">
      <c r="A34" s="18" t="n">
        <v>31</v>
      </c>
      <c r="B34" s="19" t="inlineStr">
        <is>
          <t>PRATHMIK VIDYALAYA ROOM NO. 2 NANOULI</t>
        </is>
      </c>
      <c r="C34" s="31" t="n">
        <v>1023</v>
      </c>
      <c r="D34" s="31" t="n">
        <v>484</v>
      </c>
      <c r="E34" s="31" t="n">
        <v>417</v>
      </c>
      <c r="F34" s="31" t="n">
        <v>0</v>
      </c>
      <c r="G34" s="31" t="n">
        <v>901</v>
      </c>
      <c r="H34" s="32">
        <f>G34/C34</f>
        <v/>
      </c>
      <c r="I34" s="31" t="n">
        <v>10</v>
      </c>
      <c r="J34" s="31" t="n">
        <v>0</v>
      </c>
      <c r="K34" s="31" t="n">
        <v>4</v>
      </c>
      <c r="L34" s="31" t="n">
        <v>281</v>
      </c>
      <c r="M34" s="31" t="n">
        <v>403</v>
      </c>
      <c r="N34" s="31" t="n">
        <v>183</v>
      </c>
      <c r="O34" s="31" t="n">
        <v>3</v>
      </c>
      <c r="P34" s="31" t="n">
        <v>4</v>
      </c>
      <c r="Q34" s="31" t="n">
        <v>0</v>
      </c>
      <c r="R34" s="31" t="n">
        <v>7</v>
      </c>
      <c r="S34" s="31" t="n">
        <v>1</v>
      </c>
      <c r="T34" s="31" t="n">
        <v>1</v>
      </c>
      <c r="U34" s="31" t="n">
        <v>1</v>
      </c>
      <c r="V34" s="31" t="n">
        <v>2</v>
      </c>
      <c r="W34" s="31" t="n">
        <v>6</v>
      </c>
      <c r="X34" s="31" t="n">
        <v>5</v>
      </c>
      <c r="Y34" s="20">
        <f>SUM(K34:X34)</f>
        <v/>
      </c>
      <c r="Z34" s="33">
        <f>G34-Y34</f>
        <v/>
      </c>
      <c r="AA34" s="48">
        <f>INDEX($K$3:$X$3, MATCH(MAX(K34:X34), K34:X34, 0))</f>
        <v/>
      </c>
      <c r="AB34" s="49">
        <f>LARGE(K34:X34, 1) - LARGE(K34:X34, 2)</f>
        <v/>
      </c>
    </row>
    <row r="35" ht="19" customHeight="1">
      <c r="A35" s="34" t="n">
        <v>32</v>
      </c>
      <c r="B35" s="35" t="inlineStr">
        <is>
          <t>PRATHMIK VIDYALAYA ROOM NO. 1 SALEMPUR GADA</t>
        </is>
      </c>
      <c r="C35" s="36" t="n">
        <v>1265</v>
      </c>
      <c r="D35" s="36" t="n">
        <v>612</v>
      </c>
      <c r="E35" s="36" t="n">
        <v>408</v>
      </c>
      <c r="F35" s="36" t="n">
        <v>0</v>
      </c>
      <c r="G35" s="36" t="n">
        <v>1020</v>
      </c>
      <c r="H35" s="37">
        <f>G35/C35</f>
        <v/>
      </c>
      <c r="I35" s="36" t="n">
        <v>43</v>
      </c>
      <c r="J35" s="36" t="n">
        <v>0</v>
      </c>
      <c r="K35" s="36" t="n">
        <v>4</v>
      </c>
      <c r="L35" s="36" t="n">
        <v>408</v>
      </c>
      <c r="M35" s="36" t="n">
        <v>531</v>
      </c>
      <c r="N35" s="36" t="n">
        <v>53</v>
      </c>
      <c r="O35" s="36" t="n">
        <v>3</v>
      </c>
      <c r="P35" s="36" t="n">
        <v>4</v>
      </c>
      <c r="Q35" s="36" t="n">
        <v>1</v>
      </c>
      <c r="R35" s="36" t="n">
        <v>0</v>
      </c>
      <c r="S35" s="36" t="n">
        <v>3</v>
      </c>
      <c r="T35" s="36" t="n">
        <v>0</v>
      </c>
      <c r="U35" s="36" t="n">
        <v>0</v>
      </c>
      <c r="V35" s="36" t="n">
        <v>4</v>
      </c>
      <c r="W35" s="36" t="n">
        <v>5</v>
      </c>
      <c r="X35" s="36" t="n">
        <v>4</v>
      </c>
      <c r="Y35" s="38">
        <f>SUM(K35:X35)</f>
        <v/>
      </c>
      <c r="Z35" s="39">
        <f>G35-Y35</f>
        <v/>
      </c>
      <c r="AA35" s="50">
        <f>INDEX($K$3:$X$3, MATCH(MAX(K35:X35), K35:X35, 0))</f>
        <v/>
      </c>
      <c r="AB35" s="51">
        <f>LARGE(K35:X35, 1) - LARGE(K35:X35, 2)</f>
        <v/>
      </c>
    </row>
    <row r="36" ht="19" customHeight="1">
      <c r="A36" s="18" t="n">
        <v>33</v>
      </c>
      <c r="B36" s="19" t="inlineStr">
        <is>
          <t>PRATHMIK VIDYALAYA ROOM NO. 2 SALEMPUR GADA</t>
        </is>
      </c>
      <c r="C36" s="31" t="n">
        <v>1089</v>
      </c>
      <c r="D36" s="31" t="n">
        <v>481</v>
      </c>
      <c r="E36" s="31" t="n">
        <v>449</v>
      </c>
      <c r="F36" s="31" t="n">
        <v>0</v>
      </c>
      <c r="G36" s="31" t="n">
        <v>930</v>
      </c>
      <c r="H36" s="32">
        <f>G36/C36</f>
        <v/>
      </c>
      <c r="I36" s="31" t="n">
        <v>21</v>
      </c>
      <c r="J36" s="31" t="n">
        <v>0</v>
      </c>
      <c r="K36" s="31" t="n">
        <v>1</v>
      </c>
      <c r="L36" s="31" t="n">
        <v>100</v>
      </c>
      <c r="M36" s="31" t="n">
        <v>608</v>
      </c>
      <c r="N36" s="31" t="n">
        <v>193</v>
      </c>
      <c r="O36" s="31" t="n">
        <v>5</v>
      </c>
      <c r="P36" s="31" t="n">
        <v>0</v>
      </c>
      <c r="Q36" s="31" t="n">
        <v>2</v>
      </c>
      <c r="R36" s="31" t="n">
        <v>2</v>
      </c>
      <c r="S36" s="31" t="n">
        <v>1</v>
      </c>
      <c r="T36" s="31" t="n">
        <v>2</v>
      </c>
      <c r="U36" s="31" t="n">
        <v>7</v>
      </c>
      <c r="V36" s="31" t="n">
        <v>6</v>
      </c>
      <c r="W36" s="31" t="n">
        <v>1</v>
      </c>
      <c r="X36" s="31" t="n">
        <v>2</v>
      </c>
      <c r="Y36" s="20">
        <f>SUM(K36:X36)</f>
        <v/>
      </c>
      <c r="Z36" s="33">
        <f>G36-Y36</f>
        <v/>
      </c>
      <c r="AA36" s="48">
        <f>INDEX($K$3:$X$3, MATCH(MAX(K36:X36), K36:X36, 0))</f>
        <v/>
      </c>
      <c r="AB36" s="49">
        <f>LARGE(K36:X36, 1) - LARGE(K36:X36, 2)</f>
        <v/>
      </c>
    </row>
    <row r="37" ht="19" customHeight="1">
      <c r="A37" s="34" t="n">
        <v>34</v>
      </c>
      <c r="B37" s="35" t="inlineStr">
        <is>
          <t>PRATHMIK VIDYALAYA ROOM NO. 1 LATIFPUR BHOOD</t>
        </is>
      </c>
      <c r="C37" s="36" t="n">
        <v>914</v>
      </c>
      <c r="D37" s="36" t="n">
        <v>415</v>
      </c>
      <c r="E37" s="36" t="n">
        <v>372</v>
      </c>
      <c r="F37" s="36" t="n">
        <v>0</v>
      </c>
      <c r="G37" s="36" t="n">
        <v>787</v>
      </c>
      <c r="H37" s="37">
        <f>G37/C37</f>
        <v/>
      </c>
      <c r="I37" s="36" t="n">
        <v>0</v>
      </c>
      <c r="J37" s="36" t="n">
        <v>0</v>
      </c>
      <c r="K37" s="36" t="n">
        <v>6</v>
      </c>
      <c r="L37" s="36" t="n">
        <v>218</v>
      </c>
      <c r="M37" s="36" t="n">
        <v>113</v>
      </c>
      <c r="N37" s="36" t="n">
        <v>407</v>
      </c>
      <c r="O37" s="36" t="n">
        <v>1</v>
      </c>
      <c r="P37" s="36" t="n">
        <v>1</v>
      </c>
      <c r="Q37" s="36" t="n">
        <v>1</v>
      </c>
      <c r="R37" s="36" t="n">
        <v>3</v>
      </c>
      <c r="S37" s="36" t="n">
        <v>0</v>
      </c>
      <c r="T37" s="36" t="n">
        <v>4</v>
      </c>
      <c r="U37" s="36" t="n">
        <v>6</v>
      </c>
      <c r="V37" s="36" t="n">
        <v>4</v>
      </c>
      <c r="W37" s="36" t="n">
        <v>9</v>
      </c>
      <c r="X37" s="36" t="n">
        <v>14</v>
      </c>
      <c r="Y37" s="38">
        <f>SUM(K37:X37)</f>
        <v/>
      </c>
      <c r="Z37" s="39">
        <f>G37-Y37</f>
        <v/>
      </c>
      <c r="AA37" s="50">
        <f>INDEX($K$3:$X$3, MATCH(MAX(K37:X37), K37:X37, 0))</f>
        <v/>
      </c>
      <c r="AB37" s="51">
        <f>LARGE(K37:X37, 1) - LARGE(K37:X37, 2)</f>
        <v/>
      </c>
    </row>
    <row r="38" ht="19" customHeight="1">
      <c r="A38" s="18" t="n">
        <v>35</v>
      </c>
      <c r="B38" s="19" t="inlineStr">
        <is>
          <t>NEHAR NIRIKSAN BHWAN ROOM NO. 1 NOSHERA TATRPUR</t>
        </is>
      </c>
      <c r="C38" s="31" t="n">
        <v>710</v>
      </c>
      <c r="D38" s="31" t="n">
        <v>290</v>
      </c>
      <c r="E38" s="31" t="n">
        <v>285</v>
      </c>
      <c r="F38" s="31" t="n">
        <v>0</v>
      </c>
      <c r="G38" s="31" t="n">
        <v>575</v>
      </c>
      <c r="H38" s="32">
        <f>G38/C38</f>
        <v/>
      </c>
      <c r="I38" s="31" t="n">
        <v>195</v>
      </c>
      <c r="J38" s="31" t="n">
        <v>0</v>
      </c>
      <c r="K38" s="31" t="n">
        <v>1</v>
      </c>
      <c r="L38" s="31" t="n">
        <v>196</v>
      </c>
      <c r="M38" s="31" t="n">
        <v>290</v>
      </c>
      <c r="N38" s="31" t="n">
        <v>58</v>
      </c>
      <c r="O38" s="31" t="n">
        <v>7</v>
      </c>
      <c r="P38" s="31" t="n">
        <v>0</v>
      </c>
      <c r="Q38" s="31" t="n">
        <v>0</v>
      </c>
      <c r="R38" s="31" t="n">
        <v>14</v>
      </c>
      <c r="S38" s="31" t="n">
        <v>2</v>
      </c>
      <c r="T38" s="31" t="n">
        <v>2</v>
      </c>
      <c r="U38" s="31" t="n">
        <v>0</v>
      </c>
      <c r="V38" s="31" t="n">
        <v>1</v>
      </c>
      <c r="W38" s="31" t="n">
        <v>3</v>
      </c>
      <c r="X38" s="31" t="n">
        <v>1</v>
      </c>
      <c r="Y38" s="20">
        <f>SUM(K38:X38)</f>
        <v/>
      </c>
      <c r="Z38" s="33">
        <f>G38-Y38</f>
        <v/>
      </c>
      <c r="AA38" s="48">
        <f>INDEX($K$3:$X$3, MATCH(MAX(K38:X38), K38:X38, 0))</f>
        <v/>
      </c>
      <c r="AB38" s="49">
        <f>LARGE(K38:X38, 1) - LARGE(K38:X38, 2)</f>
        <v/>
      </c>
    </row>
    <row r="39" ht="19" customHeight="1">
      <c r="A39" s="34" t="n">
        <v>36</v>
      </c>
      <c r="B39" s="35" t="inlineStr">
        <is>
          <t>PRATHMIK VIDYALAYA ROOM NO. 1 SIKENDERPUR</t>
        </is>
      </c>
      <c r="C39" s="36" t="n">
        <v>801</v>
      </c>
      <c r="D39" s="36" t="n">
        <v>389</v>
      </c>
      <c r="E39" s="36" t="n">
        <v>336</v>
      </c>
      <c r="F39" s="36" t="n">
        <v>0</v>
      </c>
      <c r="G39" s="36" t="n">
        <v>725</v>
      </c>
      <c r="H39" s="37">
        <f>G39/C39</f>
        <v/>
      </c>
      <c r="I39" s="36" t="n">
        <v>99</v>
      </c>
      <c r="J39" s="36" t="n">
        <v>0</v>
      </c>
      <c r="K39" s="36" t="n">
        <v>4</v>
      </c>
      <c r="L39" s="36" t="n">
        <v>293</v>
      </c>
      <c r="M39" s="36" t="n">
        <v>238</v>
      </c>
      <c r="N39" s="36" t="n">
        <v>159</v>
      </c>
      <c r="O39" s="36" t="n">
        <v>4</v>
      </c>
      <c r="P39" s="36" t="n">
        <v>1</v>
      </c>
      <c r="Q39" s="36" t="n">
        <v>0</v>
      </c>
      <c r="R39" s="36" t="n">
        <v>14</v>
      </c>
      <c r="S39" s="36" t="n">
        <v>0</v>
      </c>
      <c r="T39" s="36" t="n">
        <v>0</v>
      </c>
      <c r="U39" s="36" t="n">
        <v>6</v>
      </c>
      <c r="V39" s="36" t="n">
        <v>1</v>
      </c>
      <c r="W39" s="36" t="n">
        <v>1</v>
      </c>
      <c r="X39" s="36" t="n">
        <v>4</v>
      </c>
      <c r="Y39" s="38">
        <f>SUM(K39:X39)</f>
        <v/>
      </c>
      <c r="Z39" s="39">
        <f>G39-Y39</f>
        <v/>
      </c>
      <c r="AA39" s="50">
        <f>INDEX($K$3:$X$3, MATCH(MAX(K39:X39), K39:X39, 0))</f>
        <v/>
      </c>
      <c r="AB39" s="51">
        <f>LARGE(K39:X39, 1) - LARGE(K39:X39, 2)</f>
        <v/>
      </c>
    </row>
    <row r="40" ht="19" customHeight="1">
      <c r="A40" s="18" t="n">
        <v>37</v>
      </c>
      <c r="B40" s="19" t="inlineStr">
        <is>
          <t>PRATHMIK VIDYALAYA ROOM NO. 1 NOORPUR BHARAWAD</t>
        </is>
      </c>
      <c r="C40" s="31" t="n">
        <v>964</v>
      </c>
      <c r="D40" s="31" t="n">
        <v>441</v>
      </c>
      <c r="E40" s="31" t="n">
        <v>393</v>
      </c>
      <c r="F40" s="31" t="n">
        <v>0</v>
      </c>
      <c r="G40" s="31" t="n">
        <v>834</v>
      </c>
      <c r="H40" s="32">
        <f>G40/C40</f>
        <v/>
      </c>
      <c r="I40" s="31" t="n">
        <v>0</v>
      </c>
      <c r="J40" s="31" t="n">
        <v>0</v>
      </c>
      <c r="K40" s="31" t="n">
        <v>4</v>
      </c>
      <c r="L40" s="31" t="n">
        <v>183</v>
      </c>
      <c r="M40" s="31" t="n">
        <v>440</v>
      </c>
      <c r="N40" s="31" t="n">
        <v>180</v>
      </c>
      <c r="O40" s="31" t="n">
        <v>4</v>
      </c>
      <c r="P40" s="31" t="n">
        <v>1</v>
      </c>
      <c r="Q40" s="31" t="n">
        <v>6</v>
      </c>
      <c r="R40" s="31" t="n">
        <v>0</v>
      </c>
      <c r="S40" s="31" t="n">
        <v>3</v>
      </c>
      <c r="T40" s="31" t="n">
        <v>0</v>
      </c>
      <c r="U40" s="31" t="n">
        <v>3</v>
      </c>
      <c r="V40" s="31" t="n">
        <v>1</v>
      </c>
      <c r="W40" s="31" t="n">
        <v>2</v>
      </c>
      <c r="X40" s="31" t="n">
        <v>7</v>
      </c>
      <c r="Y40" s="20">
        <f>SUM(K40:X40)</f>
        <v/>
      </c>
      <c r="Z40" s="33">
        <f>G40-Y40</f>
        <v/>
      </c>
      <c r="AA40" s="48">
        <f>INDEX($K$3:$X$3, MATCH(MAX(K40:X40), K40:X40, 0))</f>
        <v/>
      </c>
      <c r="AB40" s="49">
        <f>LARGE(K40:X40, 1) - LARGE(K40:X40, 2)</f>
        <v/>
      </c>
    </row>
    <row r="41" ht="19" customHeight="1">
      <c r="A41" s="34" t="n">
        <v>38</v>
      </c>
      <c r="B41" s="35" t="inlineStr">
        <is>
          <t>PRATHMIK VIDYALAYA ROOM NO. 1 KASAMPUR M. PADLI</t>
        </is>
      </c>
      <c r="C41" s="36" t="n">
        <v>1139</v>
      </c>
      <c r="D41" s="36" t="n">
        <v>524</v>
      </c>
      <c r="E41" s="36" t="n">
        <v>469</v>
      </c>
      <c r="F41" s="36" t="n">
        <v>0</v>
      </c>
      <c r="G41" s="36" t="n">
        <v>993</v>
      </c>
      <c r="H41" s="37">
        <f>G41/C41</f>
        <v/>
      </c>
      <c r="I41" s="36" t="n">
        <v>119</v>
      </c>
      <c r="J41" s="36" t="n">
        <v>0</v>
      </c>
      <c r="K41" s="36" t="n">
        <v>2</v>
      </c>
      <c r="L41" s="36" t="n">
        <v>313</v>
      </c>
      <c r="M41" s="36" t="n">
        <v>535</v>
      </c>
      <c r="N41" s="36" t="n">
        <v>103</v>
      </c>
      <c r="O41" s="36" t="n">
        <v>10</v>
      </c>
      <c r="P41" s="36" t="n">
        <v>2</v>
      </c>
      <c r="Q41" s="36" t="n">
        <v>2</v>
      </c>
      <c r="R41" s="36" t="n">
        <v>5</v>
      </c>
      <c r="S41" s="36" t="n">
        <v>3</v>
      </c>
      <c r="T41" s="36" t="n">
        <v>1</v>
      </c>
      <c r="U41" s="36" t="n">
        <v>3</v>
      </c>
      <c r="V41" s="36" t="n">
        <v>4</v>
      </c>
      <c r="W41" s="36" t="n">
        <v>4</v>
      </c>
      <c r="X41" s="36" t="n">
        <v>6</v>
      </c>
      <c r="Y41" s="38">
        <f>SUM(K41:X41)</f>
        <v/>
      </c>
      <c r="Z41" s="39">
        <f>G41-Y41</f>
        <v/>
      </c>
      <c r="AA41" s="50">
        <f>INDEX($K$3:$X$3, MATCH(MAX(K41:X41), K41:X41, 0))</f>
        <v/>
      </c>
      <c r="AB41" s="51">
        <f>LARGE(K41:X41, 1) - LARGE(K41:X41, 2)</f>
        <v/>
      </c>
    </row>
    <row r="42" ht="19" customHeight="1">
      <c r="A42" s="18" t="n">
        <v>39</v>
      </c>
      <c r="B42" s="19" t="inlineStr">
        <is>
          <t>PRATHMIK VIDYALAYA ROOM NO. 4 KASAMPUR M. PADLI</t>
        </is>
      </c>
      <c r="C42" s="31" t="n">
        <v>767</v>
      </c>
      <c r="D42" s="31" t="n">
        <v>326</v>
      </c>
      <c r="E42" s="31" t="n">
        <v>282</v>
      </c>
      <c r="F42" s="31" t="n">
        <v>0</v>
      </c>
      <c r="G42" s="31" t="n">
        <v>608</v>
      </c>
      <c r="H42" s="32">
        <f>G42/C42</f>
        <v/>
      </c>
      <c r="I42" s="31" t="n">
        <v>108</v>
      </c>
      <c r="J42" s="31" t="n">
        <v>0</v>
      </c>
      <c r="K42" s="31" t="n">
        <v>1</v>
      </c>
      <c r="L42" s="31" t="n">
        <v>178</v>
      </c>
      <c r="M42" s="31" t="n">
        <v>390</v>
      </c>
      <c r="N42" s="31" t="n">
        <v>22</v>
      </c>
      <c r="O42" s="31" t="n">
        <v>0</v>
      </c>
      <c r="P42" s="31" t="n">
        <v>0</v>
      </c>
      <c r="Q42" s="31" t="n">
        <v>0</v>
      </c>
      <c r="R42" s="31" t="n">
        <v>2</v>
      </c>
      <c r="S42" s="31" t="n">
        <v>3</v>
      </c>
      <c r="T42" s="31" t="n">
        <v>1</v>
      </c>
      <c r="U42" s="31" t="n">
        <v>1</v>
      </c>
      <c r="V42" s="31" t="n">
        <v>5</v>
      </c>
      <c r="W42" s="31" t="n">
        <v>0</v>
      </c>
      <c r="X42" s="31" t="n">
        <v>5</v>
      </c>
      <c r="Y42" s="20">
        <f>SUM(K42:X42)</f>
        <v/>
      </c>
      <c r="Z42" s="33">
        <f>G42-Y42</f>
        <v/>
      </c>
      <c r="AA42" s="48">
        <f>INDEX($K$3:$X$3, MATCH(MAX(K42:X42), K42:X42, 0))</f>
        <v/>
      </c>
      <c r="AB42" s="49">
        <f>LARGE(K42:X42, 1) - LARGE(K42:X42, 2)</f>
        <v/>
      </c>
    </row>
    <row r="43" ht="19" customHeight="1">
      <c r="A43" s="34" t="n">
        <v>40</v>
      </c>
      <c r="B43" s="35" t="inlineStr">
        <is>
          <t>PRATHMIK VIDYALAYA ROOM NO. 2 KASAMPUR M. PADLI</t>
        </is>
      </c>
      <c r="C43" s="36" t="n">
        <v>1439</v>
      </c>
      <c r="D43" s="36" t="n">
        <v>584</v>
      </c>
      <c r="E43" s="36" t="n">
        <v>583</v>
      </c>
      <c r="F43" s="36" t="n">
        <v>0</v>
      </c>
      <c r="G43" s="36" t="n">
        <v>1167</v>
      </c>
      <c r="H43" s="37">
        <f>G43/C43</f>
        <v/>
      </c>
      <c r="I43" s="36" t="n">
        <v>9</v>
      </c>
      <c r="J43" s="36" t="n">
        <v>0</v>
      </c>
      <c r="K43" s="36" t="n">
        <v>3</v>
      </c>
      <c r="L43" s="36" t="n">
        <v>216</v>
      </c>
      <c r="M43" s="36" t="n">
        <v>234</v>
      </c>
      <c r="N43" s="36" t="n">
        <v>678</v>
      </c>
      <c r="O43" s="36" t="n">
        <v>6</v>
      </c>
      <c r="P43" s="36" t="n">
        <v>2</v>
      </c>
      <c r="Q43" s="36" t="n">
        <v>1</v>
      </c>
      <c r="R43" s="36" t="n">
        <v>5</v>
      </c>
      <c r="S43" s="36" t="n">
        <v>0</v>
      </c>
      <c r="T43" s="36" t="n">
        <v>2</v>
      </c>
      <c r="U43" s="36" t="n">
        <v>3</v>
      </c>
      <c r="V43" s="36" t="n">
        <v>3</v>
      </c>
      <c r="W43" s="36" t="n">
        <v>7</v>
      </c>
      <c r="X43" s="36" t="n">
        <v>7</v>
      </c>
      <c r="Y43" s="38">
        <f>SUM(K43:X43)</f>
        <v/>
      </c>
      <c r="Z43" s="39">
        <f>G43-Y43</f>
        <v/>
      </c>
      <c r="AA43" s="50">
        <f>INDEX($K$3:$X$3, MATCH(MAX(K43:X43), K43:X43, 0))</f>
        <v/>
      </c>
      <c r="AB43" s="51">
        <f>LARGE(K43:X43, 1) - LARGE(K43:X43, 2)</f>
        <v/>
      </c>
    </row>
    <row r="44" ht="19" customHeight="1">
      <c r="A44" s="18" t="n">
        <v>41</v>
      </c>
      <c r="B44" s="19" t="inlineStr">
        <is>
          <t>PRATHMIK VIDYALAYA ROOM NO. 1 MAYAPUR ROOPPUR</t>
        </is>
      </c>
      <c r="C44" s="31" t="n">
        <v>963</v>
      </c>
      <c r="D44" s="31" t="n">
        <v>377</v>
      </c>
      <c r="E44" s="31" t="n">
        <v>356</v>
      </c>
      <c r="F44" s="31" t="n">
        <v>0</v>
      </c>
      <c r="G44" s="31" t="n">
        <v>733</v>
      </c>
      <c r="H44" s="32">
        <f>G44/C44</f>
        <v/>
      </c>
      <c r="I44" s="31" t="n">
        <v>258</v>
      </c>
      <c r="J44" s="31" t="n">
        <v>0</v>
      </c>
      <c r="K44" s="31" t="n">
        <v>2</v>
      </c>
      <c r="L44" s="31" t="n">
        <v>98</v>
      </c>
      <c r="M44" s="31" t="n">
        <v>330</v>
      </c>
      <c r="N44" s="31" t="n">
        <v>269</v>
      </c>
      <c r="O44" s="31" t="n">
        <v>7</v>
      </c>
      <c r="P44" s="31" t="n">
        <v>4</v>
      </c>
      <c r="Q44" s="31" t="n">
        <v>4</v>
      </c>
      <c r="R44" s="31" t="n">
        <v>4</v>
      </c>
      <c r="S44" s="31" t="n">
        <v>2</v>
      </c>
      <c r="T44" s="31" t="n">
        <v>2</v>
      </c>
      <c r="U44" s="31" t="n">
        <v>4</v>
      </c>
      <c r="V44" s="31" t="n">
        <v>3</v>
      </c>
      <c r="W44" s="31" t="n">
        <v>0</v>
      </c>
      <c r="X44" s="31" t="n">
        <v>4</v>
      </c>
      <c r="Y44" s="20">
        <f>SUM(K44:X44)</f>
        <v/>
      </c>
      <c r="Z44" s="33">
        <f>G44-Y44</f>
        <v/>
      </c>
      <c r="AA44" s="48">
        <f>INDEX($K$3:$X$3, MATCH(MAX(K44:X44), K44:X44, 0))</f>
        <v/>
      </c>
      <c r="AB44" s="49">
        <f>LARGE(K44:X44, 1) - LARGE(K44:X44, 2)</f>
        <v/>
      </c>
    </row>
    <row r="45" ht="19" customHeight="1">
      <c r="A45" s="34" t="n">
        <v>42</v>
      </c>
      <c r="B45" s="35" t="inlineStr">
        <is>
          <t>PRATHMIK VIDYALAYA ROOM NO. 2 MAYAPUR ROOPPUR</t>
        </is>
      </c>
      <c r="C45" s="36" t="n">
        <v>777</v>
      </c>
      <c r="D45" s="36" t="n">
        <v>339</v>
      </c>
      <c r="E45" s="36" t="n">
        <v>269</v>
      </c>
      <c r="F45" s="36" t="n">
        <v>0</v>
      </c>
      <c r="G45" s="36" t="n">
        <v>608</v>
      </c>
      <c r="H45" s="37">
        <f>G45/C45</f>
        <v/>
      </c>
      <c r="I45" s="36" t="n">
        <v>20</v>
      </c>
      <c r="J45" s="36" t="n">
        <v>0</v>
      </c>
      <c r="K45" s="36" t="n">
        <v>5</v>
      </c>
      <c r="L45" s="36" t="n">
        <v>155</v>
      </c>
      <c r="M45" s="36" t="n">
        <v>257</v>
      </c>
      <c r="N45" s="36" t="n">
        <v>141</v>
      </c>
      <c r="O45" s="36" t="n">
        <v>7</v>
      </c>
      <c r="P45" s="36" t="n">
        <v>3</v>
      </c>
      <c r="Q45" s="36" t="n">
        <v>1</v>
      </c>
      <c r="R45" s="36" t="n">
        <v>6</v>
      </c>
      <c r="S45" s="36" t="n">
        <v>2</v>
      </c>
      <c r="T45" s="36" t="n">
        <v>2</v>
      </c>
      <c r="U45" s="36" t="n">
        <v>8</v>
      </c>
      <c r="V45" s="36" t="n">
        <v>5</v>
      </c>
      <c r="W45" s="36" t="n">
        <v>8</v>
      </c>
      <c r="X45" s="36" t="n">
        <v>8</v>
      </c>
      <c r="Y45" s="38">
        <f>SUM(K45:X45)</f>
        <v/>
      </c>
      <c r="Z45" s="39">
        <f>G45-Y45</f>
        <v/>
      </c>
      <c r="AA45" s="50">
        <f>INDEX($K$3:$X$3, MATCH(MAX(K45:X45), K45:X45, 0))</f>
        <v/>
      </c>
      <c r="AB45" s="51">
        <f>LARGE(K45:X45, 1) - LARGE(K45:X45, 2)</f>
        <v/>
      </c>
    </row>
    <row r="46" ht="19" customHeight="1">
      <c r="A46" s="18" t="n">
        <v>43</v>
      </c>
      <c r="B46" s="19" t="inlineStr">
        <is>
          <t>SHIVALIK PURVA MADHYMIK VIDYALAYA ROOM NO. 1 KHARA COLONY</t>
        </is>
      </c>
      <c r="C46" s="31" t="n">
        <v>420</v>
      </c>
      <c r="D46" s="31" t="n">
        <v>142</v>
      </c>
      <c r="E46" s="31" t="n">
        <v>120</v>
      </c>
      <c r="F46" s="31" t="n">
        <v>0</v>
      </c>
      <c r="G46" s="31" t="n">
        <v>262</v>
      </c>
      <c r="H46" s="32">
        <f>G46/C46</f>
        <v/>
      </c>
      <c r="I46" s="31" t="n">
        <v>0</v>
      </c>
      <c r="J46" s="31" t="n">
        <v>0</v>
      </c>
      <c r="K46" s="31" t="n">
        <v>0</v>
      </c>
      <c r="L46" s="31" t="n">
        <v>35</v>
      </c>
      <c r="M46" s="31" t="n">
        <v>18</v>
      </c>
      <c r="N46" s="31" t="n">
        <v>199</v>
      </c>
      <c r="O46" s="31" t="n">
        <v>5</v>
      </c>
      <c r="P46" s="31" t="n">
        <v>0</v>
      </c>
      <c r="Q46" s="31" t="n">
        <v>2</v>
      </c>
      <c r="R46" s="31" t="n">
        <v>0</v>
      </c>
      <c r="S46" s="31" t="n">
        <v>1</v>
      </c>
      <c r="T46" s="31" t="n">
        <v>0</v>
      </c>
      <c r="U46" s="31" t="n">
        <v>2</v>
      </c>
      <c r="V46" s="31" t="n">
        <v>0</v>
      </c>
      <c r="W46" s="31" t="n">
        <v>0</v>
      </c>
      <c r="X46" s="31" t="n">
        <v>0</v>
      </c>
      <c r="Y46" s="20">
        <f>SUM(K46:X46)</f>
        <v/>
      </c>
      <c r="Z46" s="33">
        <f>G46-Y46</f>
        <v/>
      </c>
      <c r="AA46" s="48">
        <f>INDEX($K$3:$X$3, MATCH(MAX(K46:X46), K46:X46, 0))</f>
        <v/>
      </c>
      <c r="AB46" s="49">
        <f>LARGE(K46:X46, 1) - LARGE(K46:X46, 2)</f>
        <v/>
      </c>
    </row>
    <row r="47" ht="19" customHeight="1">
      <c r="A47" s="34" t="n">
        <v>44</v>
      </c>
      <c r="B47" s="35" t="inlineStr">
        <is>
          <t>PRATHMIK VIDYALAYA ROOM NO. 1 MOH. SHAFIPUR</t>
        </is>
      </c>
      <c r="C47" s="36" t="n">
        <v>1120</v>
      </c>
      <c r="D47" s="36" t="n">
        <v>496</v>
      </c>
      <c r="E47" s="36" t="n">
        <v>432</v>
      </c>
      <c r="F47" s="36" t="n">
        <v>0</v>
      </c>
      <c r="G47" s="36" t="n">
        <v>928</v>
      </c>
      <c r="H47" s="37">
        <f>G47/C47</f>
        <v/>
      </c>
      <c r="I47" s="36" t="n">
        <v>200</v>
      </c>
      <c r="J47" s="36" t="n">
        <v>0</v>
      </c>
      <c r="K47" s="36" t="n">
        <v>3</v>
      </c>
      <c r="L47" s="36" t="n">
        <v>127</v>
      </c>
      <c r="M47" s="36" t="n">
        <v>73</v>
      </c>
      <c r="N47" s="36" t="n">
        <v>695</v>
      </c>
      <c r="O47" s="36" t="n">
        <v>7</v>
      </c>
      <c r="P47" s="36" t="n">
        <v>2</v>
      </c>
      <c r="Q47" s="36" t="n">
        <v>4</v>
      </c>
      <c r="R47" s="36" t="n">
        <v>5</v>
      </c>
      <c r="S47" s="36" t="n">
        <v>0</v>
      </c>
      <c r="T47" s="36" t="n">
        <v>2</v>
      </c>
      <c r="U47" s="36" t="n">
        <v>3</v>
      </c>
      <c r="V47" s="36" t="n">
        <v>0</v>
      </c>
      <c r="W47" s="36" t="n">
        <v>5</v>
      </c>
      <c r="X47" s="36" t="n">
        <v>2</v>
      </c>
      <c r="Y47" s="38">
        <f>SUM(K47:X47)</f>
        <v/>
      </c>
      <c r="Z47" s="39">
        <f>G47-Y47</f>
        <v/>
      </c>
      <c r="AA47" s="50">
        <f>INDEX($K$3:$X$3, MATCH(MAX(K47:X47), K47:X47, 0))</f>
        <v/>
      </c>
      <c r="AB47" s="51">
        <f>LARGE(K47:X47, 1) - LARGE(K47:X47, 2)</f>
        <v/>
      </c>
    </row>
    <row r="48" ht="19" customHeight="1">
      <c r="A48" s="18" t="n">
        <v>45</v>
      </c>
      <c r="B48" s="19" t="inlineStr">
        <is>
          <t>PRATHMIK VIDYALAYA ROOM NO. 1 MOHIUDDINPUR</t>
        </is>
      </c>
      <c r="C48" s="31" t="n">
        <v>615</v>
      </c>
      <c r="D48" s="31" t="n">
        <v>258</v>
      </c>
      <c r="E48" s="31" t="n">
        <v>244</v>
      </c>
      <c r="F48" s="31" t="n">
        <v>0</v>
      </c>
      <c r="G48" s="31" t="n">
        <v>502</v>
      </c>
      <c r="H48" s="32">
        <f>G48/C48</f>
        <v/>
      </c>
      <c r="I48" s="31" t="n">
        <v>103</v>
      </c>
      <c r="J48" s="31" t="n">
        <v>0</v>
      </c>
      <c r="K48" s="31" t="n">
        <v>2</v>
      </c>
      <c r="L48" s="31" t="n">
        <v>48</v>
      </c>
      <c r="M48" s="31" t="n">
        <v>435</v>
      </c>
      <c r="N48" s="31" t="n">
        <v>3</v>
      </c>
      <c r="O48" s="31" t="n">
        <v>0</v>
      </c>
      <c r="P48" s="31" t="n">
        <v>0</v>
      </c>
      <c r="Q48" s="31" t="n">
        <v>1</v>
      </c>
      <c r="R48" s="31" t="n">
        <v>1</v>
      </c>
      <c r="S48" s="31" t="n">
        <v>0</v>
      </c>
      <c r="T48" s="31" t="n">
        <v>1</v>
      </c>
      <c r="U48" s="31" t="n">
        <v>2</v>
      </c>
      <c r="V48" s="31" t="n">
        <v>2</v>
      </c>
      <c r="W48" s="31" t="n">
        <v>0</v>
      </c>
      <c r="X48" s="31" t="n">
        <v>7</v>
      </c>
      <c r="Y48" s="20">
        <f>SUM(K48:X48)</f>
        <v/>
      </c>
      <c r="Z48" s="33">
        <f>G48-Y48</f>
        <v/>
      </c>
      <c r="AA48" s="48">
        <f>INDEX($K$3:$X$3, MATCH(MAX(K48:X48), K48:X48, 0))</f>
        <v/>
      </c>
      <c r="AB48" s="49">
        <f>LARGE(K48:X48, 1) - LARGE(K48:X48, 2)</f>
        <v/>
      </c>
    </row>
    <row r="49" ht="19" customHeight="1">
      <c r="A49" s="34" t="n">
        <v>46</v>
      </c>
      <c r="B49" s="35" t="inlineStr">
        <is>
          <t>PRATHMIK VIDYALAYA ROOM NO. 1 PADLI GRANT</t>
        </is>
      </c>
      <c r="C49" s="36" t="n">
        <v>1481</v>
      </c>
      <c r="D49" s="36" t="n">
        <v>652</v>
      </c>
      <c r="E49" s="36" t="n">
        <v>462</v>
      </c>
      <c r="F49" s="36" t="n">
        <v>0</v>
      </c>
      <c r="G49" s="36" t="n">
        <v>1114</v>
      </c>
      <c r="H49" s="37">
        <f>G49/C49</f>
        <v/>
      </c>
      <c r="I49" s="36" t="n">
        <v>336</v>
      </c>
      <c r="J49" s="36" t="n">
        <v>0</v>
      </c>
      <c r="K49" s="36" t="n">
        <v>2</v>
      </c>
      <c r="L49" s="36" t="n">
        <v>260</v>
      </c>
      <c r="M49" s="36" t="n">
        <v>793</v>
      </c>
      <c r="N49" s="36" t="n">
        <v>33</v>
      </c>
      <c r="O49" s="36" t="n">
        <v>2</v>
      </c>
      <c r="P49" s="36" t="n">
        <v>4</v>
      </c>
      <c r="Q49" s="36" t="n">
        <v>1</v>
      </c>
      <c r="R49" s="36" t="n">
        <v>2</v>
      </c>
      <c r="S49" s="36" t="n">
        <v>1</v>
      </c>
      <c r="T49" s="36" t="n">
        <v>2</v>
      </c>
      <c r="U49" s="36" t="n">
        <v>4</v>
      </c>
      <c r="V49" s="36" t="n">
        <v>5</v>
      </c>
      <c r="W49" s="36" t="n">
        <v>1</v>
      </c>
      <c r="X49" s="36" t="n">
        <v>4</v>
      </c>
      <c r="Y49" s="38">
        <f>SUM(K49:X49)</f>
        <v/>
      </c>
      <c r="Z49" s="39">
        <f>G49-Y49</f>
        <v/>
      </c>
      <c r="AA49" s="50">
        <f>INDEX($K$3:$X$3, MATCH(MAX(K49:X49), K49:X49, 0))</f>
        <v/>
      </c>
      <c r="AB49" s="51">
        <f>LARGE(K49:X49, 1) - LARGE(K49:X49, 2)</f>
        <v/>
      </c>
    </row>
    <row r="50" ht="19" customHeight="1">
      <c r="A50" s="18" t="n">
        <v>47</v>
      </c>
      <c r="B50" s="19" t="inlineStr">
        <is>
          <t>PRATHMIK VIDYALAYA ROOM NO. 1 KUSHALPUR</t>
        </is>
      </c>
      <c r="C50" s="31" t="n">
        <v>1210</v>
      </c>
      <c r="D50" s="31" t="n">
        <v>492</v>
      </c>
      <c r="E50" s="31" t="n">
        <v>432</v>
      </c>
      <c r="F50" s="31" t="n">
        <v>0</v>
      </c>
      <c r="G50" s="31" t="n">
        <v>924</v>
      </c>
      <c r="H50" s="32">
        <f>G50/C50</f>
        <v/>
      </c>
      <c r="I50" s="31" t="n">
        <v>0</v>
      </c>
      <c r="J50" s="31" t="n">
        <v>0</v>
      </c>
      <c r="K50" s="31" t="n">
        <v>4</v>
      </c>
      <c r="L50" s="31" t="n">
        <v>258</v>
      </c>
      <c r="M50" s="31" t="n">
        <v>614</v>
      </c>
      <c r="N50" s="31" t="n">
        <v>9</v>
      </c>
      <c r="O50" s="31" t="n">
        <v>2</v>
      </c>
      <c r="P50" s="31" t="n">
        <v>2</v>
      </c>
      <c r="Q50" s="31" t="n">
        <v>4</v>
      </c>
      <c r="R50" s="31" t="n">
        <v>4</v>
      </c>
      <c r="S50" s="31" t="n">
        <v>2</v>
      </c>
      <c r="T50" s="31" t="n">
        <v>2</v>
      </c>
      <c r="U50" s="31" t="n">
        <v>6</v>
      </c>
      <c r="V50" s="31" t="n">
        <v>9</v>
      </c>
      <c r="W50" s="31" t="n">
        <v>4</v>
      </c>
      <c r="X50" s="31" t="n">
        <v>4</v>
      </c>
      <c r="Y50" s="20">
        <f>SUM(K50:X50)</f>
        <v/>
      </c>
      <c r="Z50" s="33">
        <f>G50-Y50</f>
        <v/>
      </c>
      <c r="AA50" s="48">
        <f>INDEX($K$3:$X$3, MATCH(MAX(K50:X50), K50:X50, 0))</f>
        <v/>
      </c>
      <c r="AB50" s="49">
        <f>LARGE(K50:X50, 1) - LARGE(K50:X50, 2)</f>
        <v/>
      </c>
    </row>
    <row r="51" ht="19" customHeight="1">
      <c r="A51" s="34" t="n">
        <v>48</v>
      </c>
      <c r="B51" s="35" t="inlineStr">
        <is>
          <t>PRATHMIK VIDYALAYA ROOM NO. 1 FARAKHPUR</t>
        </is>
      </c>
      <c r="C51" s="36" t="n">
        <v>346</v>
      </c>
      <c r="D51" s="36" t="n">
        <v>148</v>
      </c>
      <c r="E51" s="36" t="n">
        <v>140</v>
      </c>
      <c r="F51" s="36" t="n">
        <v>0</v>
      </c>
      <c r="G51" s="36" t="n">
        <v>288</v>
      </c>
      <c r="H51" s="37">
        <f>G51/C51</f>
        <v/>
      </c>
      <c r="I51" s="36" t="n">
        <v>0</v>
      </c>
      <c r="J51" s="36" t="n">
        <v>0</v>
      </c>
      <c r="K51" s="36" t="n">
        <v>0</v>
      </c>
      <c r="L51" s="36" t="n">
        <v>138</v>
      </c>
      <c r="M51" s="36" t="n">
        <v>127</v>
      </c>
      <c r="N51" s="36" t="n">
        <v>14</v>
      </c>
      <c r="O51" s="36" t="n">
        <v>1</v>
      </c>
      <c r="P51" s="36" t="n">
        <v>0</v>
      </c>
      <c r="Q51" s="36" t="n">
        <v>0</v>
      </c>
      <c r="R51" s="36" t="n">
        <v>0</v>
      </c>
      <c r="S51" s="36" t="n">
        <v>0</v>
      </c>
      <c r="T51" s="36" t="n">
        <v>0</v>
      </c>
      <c r="U51" s="36" t="n">
        <v>1</v>
      </c>
      <c r="V51" s="36" t="n">
        <v>2</v>
      </c>
      <c r="W51" s="36" t="n">
        <v>3</v>
      </c>
      <c r="X51" s="36" t="n">
        <v>2</v>
      </c>
      <c r="Y51" s="38">
        <f>SUM(K51:X51)</f>
        <v/>
      </c>
      <c r="Z51" s="39">
        <f>G51-Y51</f>
        <v/>
      </c>
      <c r="AA51" s="50">
        <f>INDEX($K$3:$X$3, MATCH(MAX(K51:X51), K51:X51, 0))</f>
        <v/>
      </c>
      <c r="AB51" s="51">
        <f>LARGE(K51:X51, 1) - LARGE(K51:X51, 2)</f>
        <v/>
      </c>
    </row>
    <row r="52" ht="19" customHeight="1">
      <c r="A52" s="18" t="n">
        <v>49</v>
      </c>
      <c r="B52" s="19" t="inlineStr">
        <is>
          <t>PRATHMIK VIDYALAYA ROOM NO. 1 ASGARPUR</t>
        </is>
      </c>
      <c r="C52" s="31" t="n">
        <v>1319</v>
      </c>
      <c r="D52" s="31" t="n">
        <v>483</v>
      </c>
      <c r="E52" s="31" t="n">
        <v>482</v>
      </c>
      <c r="F52" s="31" t="n">
        <v>0</v>
      </c>
      <c r="G52" s="31" t="n">
        <v>965</v>
      </c>
      <c r="H52" s="32">
        <f>G52/C52</f>
        <v/>
      </c>
      <c r="I52" s="31" t="n">
        <v>11</v>
      </c>
      <c r="J52" s="31" t="n">
        <v>0</v>
      </c>
      <c r="K52" s="31" t="n">
        <v>3</v>
      </c>
      <c r="L52" s="31" t="n">
        <v>202</v>
      </c>
      <c r="M52" s="31" t="n">
        <v>513</v>
      </c>
      <c r="N52" s="31" t="n">
        <v>208</v>
      </c>
      <c r="O52" s="31" t="n">
        <v>3</v>
      </c>
      <c r="P52" s="31" t="n">
        <v>7</v>
      </c>
      <c r="Q52" s="31" t="n">
        <v>1</v>
      </c>
      <c r="R52" s="31" t="n">
        <v>0</v>
      </c>
      <c r="S52" s="31" t="n">
        <v>3</v>
      </c>
      <c r="T52" s="31" t="n">
        <v>7</v>
      </c>
      <c r="U52" s="31" t="n">
        <v>8</v>
      </c>
      <c r="V52" s="31" t="n">
        <v>1</v>
      </c>
      <c r="W52" s="31" t="n">
        <v>2</v>
      </c>
      <c r="X52" s="31" t="n">
        <v>7</v>
      </c>
      <c r="Y52" s="20">
        <f>SUM(K52:X52)</f>
        <v/>
      </c>
      <c r="Z52" s="33">
        <f>G52-Y52</f>
        <v/>
      </c>
      <c r="AA52" s="48">
        <f>INDEX($K$3:$X$3, MATCH(MAX(K52:X52), K52:X52, 0))</f>
        <v/>
      </c>
      <c r="AB52" s="49">
        <f>LARGE(K52:X52, 1) - LARGE(K52:X52, 2)</f>
        <v/>
      </c>
    </row>
    <row r="53" ht="19" customHeight="1">
      <c r="A53" s="34" t="n">
        <v>50</v>
      </c>
      <c r="B53" s="35" t="inlineStr">
        <is>
          <t>PURVA MADHYAMIK VIDYALAYA ROOM NO. 1 FATHEULLAPUR</t>
        </is>
      </c>
      <c r="C53" s="36" t="n">
        <v>1455</v>
      </c>
      <c r="D53" s="36" t="n">
        <v>588</v>
      </c>
      <c r="E53" s="36" t="n">
        <v>552</v>
      </c>
      <c r="F53" s="36" t="n">
        <v>0</v>
      </c>
      <c r="G53" s="36" t="n">
        <v>1140</v>
      </c>
      <c r="H53" s="37">
        <f>G53/C53</f>
        <v/>
      </c>
      <c r="I53" s="36" t="n">
        <v>0</v>
      </c>
      <c r="J53" s="36" t="n">
        <v>0</v>
      </c>
      <c r="K53" s="36" t="n">
        <v>10</v>
      </c>
      <c r="L53" s="36" t="n">
        <v>777</v>
      </c>
      <c r="M53" s="36" t="n">
        <v>86</v>
      </c>
      <c r="N53" s="36" t="n">
        <v>223</v>
      </c>
      <c r="O53" s="36" t="n">
        <v>2</v>
      </c>
      <c r="P53" s="36" t="n">
        <v>2</v>
      </c>
      <c r="Q53" s="36" t="n">
        <v>1</v>
      </c>
      <c r="R53" s="36" t="n">
        <v>3</v>
      </c>
      <c r="S53" s="36" t="n">
        <v>2</v>
      </c>
      <c r="T53" s="36" t="n">
        <v>0</v>
      </c>
      <c r="U53" s="36" t="n">
        <v>6</v>
      </c>
      <c r="V53" s="36" t="n">
        <v>4</v>
      </c>
      <c r="W53" s="36" t="n">
        <v>7</v>
      </c>
      <c r="X53" s="36" t="n">
        <v>17</v>
      </c>
      <c r="Y53" s="38">
        <f>SUM(K53:X53)</f>
        <v/>
      </c>
      <c r="Z53" s="39">
        <f>G53-Y53</f>
        <v/>
      </c>
      <c r="AA53" s="50">
        <f>INDEX($K$3:$X$3, MATCH(MAX(K53:X53), K53:X53, 0))</f>
        <v/>
      </c>
      <c r="AB53" s="51">
        <f>LARGE(K53:X53, 1) - LARGE(K53:X53, 2)</f>
        <v/>
      </c>
    </row>
    <row r="54" ht="19" customHeight="1">
      <c r="A54" s="18" t="n">
        <v>51</v>
      </c>
      <c r="B54" s="19" t="inlineStr">
        <is>
          <t>PRATHMIK VIDYALAYA ROOM NO. 1 TAHARPUR</t>
        </is>
      </c>
      <c r="C54" s="31" t="n">
        <v>809</v>
      </c>
      <c r="D54" s="31" t="n">
        <v>352</v>
      </c>
      <c r="E54" s="31" t="n">
        <v>295</v>
      </c>
      <c r="F54" s="31" t="n">
        <v>0</v>
      </c>
      <c r="G54" s="31" t="n">
        <v>647</v>
      </c>
      <c r="H54" s="32">
        <f>G54/C54</f>
        <v/>
      </c>
      <c r="I54" s="31" t="n">
        <v>0</v>
      </c>
      <c r="J54" s="31" t="n">
        <v>0</v>
      </c>
      <c r="K54" s="31" t="n">
        <v>5</v>
      </c>
      <c r="L54" s="31" t="n">
        <v>229</v>
      </c>
      <c r="M54" s="31" t="n">
        <v>355</v>
      </c>
      <c r="N54" s="31" t="n">
        <v>45</v>
      </c>
      <c r="O54" s="31" t="n">
        <v>1</v>
      </c>
      <c r="P54" s="31" t="n">
        <v>2</v>
      </c>
      <c r="Q54" s="31" t="n">
        <v>0</v>
      </c>
      <c r="R54" s="31" t="n">
        <v>3</v>
      </c>
      <c r="S54" s="31" t="n">
        <v>0</v>
      </c>
      <c r="T54" s="31" t="n">
        <v>0</v>
      </c>
      <c r="U54" s="31" t="n">
        <v>3</v>
      </c>
      <c r="V54" s="31" t="n">
        <v>2</v>
      </c>
      <c r="W54" s="31" t="n">
        <v>0</v>
      </c>
      <c r="X54" s="31" t="n">
        <v>2</v>
      </c>
      <c r="Y54" s="20">
        <f>SUM(K54:X54)</f>
        <v/>
      </c>
      <c r="Z54" s="33">
        <f>G54-Y54</f>
        <v/>
      </c>
      <c r="AA54" s="48">
        <f>INDEX($K$3:$X$3, MATCH(MAX(K54:X54), K54:X54, 0))</f>
        <v/>
      </c>
      <c r="AB54" s="49">
        <f>LARGE(K54:X54, 1) - LARGE(K54:X54, 2)</f>
        <v/>
      </c>
    </row>
    <row r="55" ht="19" customHeight="1">
      <c r="A55" s="34" t="n">
        <v>52</v>
      </c>
      <c r="B55" s="35" t="inlineStr">
        <is>
          <t>PRATHMIK VIDYALAYA ROOM NO. 1 MALAKPUR</t>
        </is>
      </c>
      <c r="C55" s="36" t="n">
        <v>1129</v>
      </c>
      <c r="D55" s="36" t="n">
        <v>475</v>
      </c>
      <c r="E55" s="36" t="n">
        <v>396</v>
      </c>
      <c r="F55" s="36" t="n">
        <v>0</v>
      </c>
      <c r="G55" s="36" t="n">
        <v>871</v>
      </c>
      <c r="H55" s="37">
        <f>G55/C55</f>
        <v/>
      </c>
      <c r="I55" s="36" t="n">
        <v>221</v>
      </c>
      <c r="J55" s="36" t="n">
        <v>0</v>
      </c>
      <c r="K55" s="36" t="n">
        <v>1</v>
      </c>
      <c r="L55" s="36" t="n">
        <v>164</v>
      </c>
      <c r="M55" s="36" t="n">
        <v>395</v>
      </c>
      <c r="N55" s="36" t="n">
        <v>279</v>
      </c>
      <c r="O55" s="36" t="n">
        <v>7</v>
      </c>
      <c r="P55" s="36" t="n">
        <v>2</v>
      </c>
      <c r="Q55" s="36" t="n">
        <v>1</v>
      </c>
      <c r="R55" s="36" t="n">
        <v>1</v>
      </c>
      <c r="S55" s="36" t="n">
        <v>0</v>
      </c>
      <c r="T55" s="36" t="n">
        <v>0</v>
      </c>
      <c r="U55" s="36" t="n">
        <v>9</v>
      </c>
      <c r="V55" s="36" t="n">
        <v>3</v>
      </c>
      <c r="W55" s="36" t="n">
        <v>2</v>
      </c>
      <c r="X55" s="36" t="n">
        <v>7</v>
      </c>
      <c r="Y55" s="38">
        <f>SUM(K55:X55)</f>
        <v/>
      </c>
      <c r="Z55" s="39">
        <f>G55-Y55</f>
        <v/>
      </c>
      <c r="AA55" s="50">
        <f>INDEX($K$3:$X$3, MATCH(MAX(K55:X55), K55:X55, 0))</f>
        <v/>
      </c>
      <c r="AB55" s="51">
        <f>LARGE(K55:X55, 1) - LARGE(K55:X55, 2)</f>
        <v/>
      </c>
    </row>
    <row r="56" ht="19" customHeight="1">
      <c r="A56" s="18" t="n">
        <v>53</v>
      </c>
      <c r="B56" s="19" t="inlineStr">
        <is>
          <t>PRATHMIK VIDYALAYA ROOM NO. 1 RAIPUR</t>
        </is>
      </c>
      <c r="C56" s="31" t="n">
        <v>988</v>
      </c>
      <c r="D56" s="31" t="n">
        <v>368</v>
      </c>
      <c r="E56" s="31" t="n">
        <v>361</v>
      </c>
      <c r="F56" s="31" t="n">
        <v>0</v>
      </c>
      <c r="G56" s="31" t="n">
        <v>729</v>
      </c>
      <c r="H56" s="32">
        <f>G56/C56</f>
        <v/>
      </c>
      <c r="I56" s="31" t="n">
        <v>0</v>
      </c>
      <c r="J56" s="31" t="n">
        <v>0</v>
      </c>
      <c r="K56" s="31" t="n">
        <v>2</v>
      </c>
      <c r="L56" s="31" t="n">
        <v>201</v>
      </c>
      <c r="M56" s="31" t="n">
        <v>352</v>
      </c>
      <c r="N56" s="31" t="n">
        <v>153</v>
      </c>
      <c r="O56" s="31" t="n">
        <v>4</v>
      </c>
      <c r="P56" s="31" t="n">
        <v>1</v>
      </c>
      <c r="Q56" s="31" t="n">
        <v>1</v>
      </c>
      <c r="R56" s="31" t="n">
        <v>1</v>
      </c>
      <c r="S56" s="31" t="n">
        <v>3</v>
      </c>
      <c r="T56" s="31" t="n">
        <v>2</v>
      </c>
      <c r="U56" s="31" t="n">
        <v>2</v>
      </c>
      <c r="V56" s="31" t="n">
        <v>3</v>
      </c>
      <c r="W56" s="31" t="n">
        <v>3</v>
      </c>
      <c r="X56" s="31" t="n">
        <v>1</v>
      </c>
      <c r="Y56" s="20">
        <f>SUM(K56:X56)</f>
        <v/>
      </c>
      <c r="Z56" s="33">
        <f>G56-Y56</f>
        <v/>
      </c>
      <c r="AA56" s="48">
        <f>INDEX($K$3:$X$3, MATCH(MAX(K56:X56), K56:X56, 0))</f>
        <v/>
      </c>
      <c r="AB56" s="49">
        <f>LARGE(K56:X56, 1) - LARGE(K56:X56, 2)</f>
        <v/>
      </c>
    </row>
    <row r="57" ht="19" customHeight="1">
      <c r="A57" s="34" t="n">
        <v>54</v>
      </c>
      <c r="B57" s="35" t="inlineStr">
        <is>
          <t>PRATHMIK VIDYALAYA ROOM NO. 2 RAIPUR</t>
        </is>
      </c>
      <c r="C57" s="36" t="n">
        <v>979</v>
      </c>
      <c r="D57" s="36" t="n">
        <v>359</v>
      </c>
      <c r="E57" s="36" t="n">
        <v>311</v>
      </c>
      <c r="F57" s="36" t="n">
        <v>0</v>
      </c>
      <c r="G57" s="36" t="n">
        <v>670</v>
      </c>
      <c r="H57" s="37">
        <f>G57/C57</f>
        <v/>
      </c>
      <c r="I57" s="36" t="n">
        <v>22</v>
      </c>
      <c r="J57" s="36" t="n">
        <v>0</v>
      </c>
      <c r="K57" s="36" t="n">
        <v>2</v>
      </c>
      <c r="L57" s="36" t="n">
        <v>286</v>
      </c>
      <c r="M57" s="36" t="n">
        <v>329</v>
      </c>
      <c r="N57" s="36" t="n">
        <v>40</v>
      </c>
      <c r="O57" s="36" t="n">
        <v>2</v>
      </c>
      <c r="P57" s="36" t="n">
        <v>2</v>
      </c>
      <c r="Q57" s="36" t="n">
        <v>0</v>
      </c>
      <c r="R57" s="36" t="n">
        <v>2</v>
      </c>
      <c r="S57" s="36" t="n">
        <v>0</v>
      </c>
      <c r="T57" s="36" t="n">
        <v>0</v>
      </c>
      <c r="U57" s="36" t="n">
        <v>1</v>
      </c>
      <c r="V57" s="36" t="n">
        <v>2</v>
      </c>
      <c r="W57" s="36" t="n">
        <v>2</v>
      </c>
      <c r="X57" s="36" t="n">
        <v>2</v>
      </c>
      <c r="Y57" s="38">
        <f>SUM(K57:X57)</f>
        <v/>
      </c>
      <c r="Z57" s="39">
        <f>G57-Y57</f>
        <v/>
      </c>
      <c r="AA57" s="50">
        <f>INDEX($K$3:$X$3, MATCH(MAX(K57:X57), K57:X57, 0))</f>
        <v/>
      </c>
      <c r="AB57" s="51">
        <f>LARGE(K57:X57, 1) - LARGE(K57:X57, 2)</f>
        <v/>
      </c>
    </row>
    <row r="58" ht="19" customHeight="1">
      <c r="A58" s="18" t="n">
        <v>55</v>
      </c>
      <c r="B58" s="19" t="inlineStr">
        <is>
          <t>PRATHMIK VIDYALAYA ROOM NO. 3 RAIPUR</t>
        </is>
      </c>
      <c r="C58" s="31" t="n">
        <v>1475</v>
      </c>
      <c r="D58" s="31" t="n">
        <v>549</v>
      </c>
      <c r="E58" s="31" t="n">
        <v>491</v>
      </c>
      <c r="F58" s="31" t="n">
        <v>0</v>
      </c>
      <c r="G58" s="31" t="n">
        <v>1040</v>
      </c>
      <c r="H58" s="32">
        <f>G58/C58</f>
        <v/>
      </c>
      <c r="I58" s="31" t="n">
        <v>12</v>
      </c>
      <c r="J58" s="31" t="n">
        <v>0</v>
      </c>
      <c r="K58" s="31" t="n">
        <v>4</v>
      </c>
      <c r="L58" s="31" t="n">
        <v>388</v>
      </c>
      <c r="M58" s="31" t="n">
        <v>510</v>
      </c>
      <c r="N58" s="31" t="n">
        <v>99</v>
      </c>
      <c r="O58" s="31" t="n">
        <v>2</v>
      </c>
      <c r="P58" s="31" t="n">
        <v>3</v>
      </c>
      <c r="Q58" s="31" t="n">
        <v>2</v>
      </c>
      <c r="R58" s="31" t="n">
        <v>5</v>
      </c>
      <c r="S58" s="31" t="n">
        <v>2</v>
      </c>
      <c r="T58" s="31" t="n">
        <v>1</v>
      </c>
      <c r="U58" s="31" t="n">
        <v>2</v>
      </c>
      <c r="V58" s="31" t="n">
        <v>0</v>
      </c>
      <c r="W58" s="31" t="n">
        <v>7</v>
      </c>
      <c r="X58" s="31" t="n">
        <v>15</v>
      </c>
      <c r="Y58" s="20">
        <f>SUM(K58:X58)</f>
        <v/>
      </c>
      <c r="Z58" s="33">
        <f>G58-Y58</f>
        <v/>
      </c>
      <c r="AA58" s="48">
        <f>INDEX($K$3:$X$3, MATCH(MAX(K58:X58), K58:X58, 0))</f>
        <v/>
      </c>
      <c r="AB58" s="49">
        <f>LARGE(K58:X58, 1) - LARGE(K58:X58, 2)</f>
        <v/>
      </c>
    </row>
    <row r="59" ht="19" customHeight="1">
      <c r="A59" s="34" t="n">
        <v>56</v>
      </c>
      <c r="B59" s="35" t="inlineStr">
        <is>
          <t>PURVA MADHYMIK VIDYALAYA ROOM NO. 1 RAIPUR</t>
        </is>
      </c>
      <c r="C59" s="36" t="n">
        <v>1375</v>
      </c>
      <c r="D59" s="36" t="n">
        <v>496</v>
      </c>
      <c r="E59" s="36" t="n">
        <v>485</v>
      </c>
      <c r="F59" s="36" t="n">
        <v>0</v>
      </c>
      <c r="G59" s="36" t="n">
        <v>981</v>
      </c>
      <c r="H59" s="37">
        <f>G59/C59</f>
        <v/>
      </c>
      <c r="I59" s="36" t="n">
        <v>0</v>
      </c>
      <c r="J59" s="36" t="n">
        <v>0</v>
      </c>
      <c r="K59" s="36" t="n">
        <v>2</v>
      </c>
      <c r="L59" s="36" t="n">
        <v>376</v>
      </c>
      <c r="M59" s="36" t="n">
        <v>466</v>
      </c>
      <c r="N59" s="36" t="n">
        <v>101</v>
      </c>
      <c r="O59" s="36" t="n">
        <v>5</v>
      </c>
      <c r="P59" s="36" t="n">
        <v>5</v>
      </c>
      <c r="Q59" s="36" t="n">
        <v>2</v>
      </c>
      <c r="R59" s="36" t="n">
        <v>0</v>
      </c>
      <c r="S59" s="36" t="n">
        <v>1</v>
      </c>
      <c r="T59" s="36" t="n">
        <v>1</v>
      </c>
      <c r="U59" s="36" t="n">
        <v>3</v>
      </c>
      <c r="V59" s="36" t="n">
        <v>4</v>
      </c>
      <c r="W59" s="36" t="n">
        <v>4</v>
      </c>
      <c r="X59" s="36" t="n">
        <v>11</v>
      </c>
      <c r="Y59" s="38">
        <f>SUM(K59:X59)</f>
        <v/>
      </c>
      <c r="Z59" s="39">
        <f>G59-Y59</f>
        <v/>
      </c>
      <c r="AA59" s="50">
        <f>INDEX($K$3:$X$3, MATCH(MAX(K59:X59), K59:X59, 0))</f>
        <v/>
      </c>
      <c r="AB59" s="51">
        <f>LARGE(K59:X59, 1) - LARGE(K59:X59, 2)</f>
        <v/>
      </c>
    </row>
    <row r="60" ht="19" customHeight="1">
      <c r="A60" s="18" t="n">
        <v>57</v>
      </c>
      <c r="B60" s="19" t="inlineStr">
        <is>
          <t>PURVA MADHYMIK VIDYALAYA ROOM NO. 2 RAIPUR</t>
        </is>
      </c>
      <c r="C60" s="31" t="n">
        <v>1182</v>
      </c>
      <c r="D60" s="31" t="n">
        <v>491</v>
      </c>
      <c r="E60" s="31" t="n">
        <v>384</v>
      </c>
      <c r="F60" s="31" t="n">
        <v>0</v>
      </c>
      <c r="G60" s="31" t="n">
        <v>875</v>
      </c>
      <c r="H60" s="32">
        <f>G60/C60</f>
        <v/>
      </c>
      <c r="I60" s="31" t="n">
        <v>150</v>
      </c>
      <c r="J60" s="31" t="n">
        <v>0</v>
      </c>
      <c r="K60" s="31" t="n">
        <v>2</v>
      </c>
      <c r="L60" s="31" t="n">
        <v>261</v>
      </c>
      <c r="M60" s="31" t="n">
        <v>561</v>
      </c>
      <c r="N60" s="31" t="n">
        <v>16</v>
      </c>
      <c r="O60" s="31" t="n">
        <v>5</v>
      </c>
      <c r="P60" s="31" t="n">
        <v>5</v>
      </c>
      <c r="Q60" s="31" t="n">
        <v>0</v>
      </c>
      <c r="R60" s="31" t="n">
        <v>1</v>
      </c>
      <c r="S60" s="31" t="n">
        <v>2</v>
      </c>
      <c r="T60" s="31" t="n">
        <v>2</v>
      </c>
      <c r="U60" s="31" t="n">
        <v>5</v>
      </c>
      <c r="V60" s="31" t="n">
        <v>3</v>
      </c>
      <c r="W60" s="31" t="n">
        <v>4</v>
      </c>
      <c r="X60" s="31" t="n">
        <v>8</v>
      </c>
      <c r="Y60" s="20">
        <f>SUM(K60:X60)</f>
        <v/>
      </c>
      <c r="Z60" s="33">
        <f>G60-Y60</f>
        <v/>
      </c>
      <c r="AA60" s="48">
        <f>INDEX($K$3:$X$3, MATCH(MAX(K60:X60), K60:X60, 0))</f>
        <v/>
      </c>
      <c r="AB60" s="49">
        <f>LARGE(K60:X60, 1) - LARGE(K60:X60, 2)</f>
        <v/>
      </c>
    </row>
    <row r="61" ht="19" customHeight="1">
      <c r="A61" s="34" t="n">
        <v>58</v>
      </c>
      <c r="B61" s="35" t="inlineStr">
        <is>
          <t>PRATHMIK VIDYALAYA ROOM NO. 1 ALAMPUR</t>
        </is>
      </c>
      <c r="C61" s="36" t="n">
        <v>1070</v>
      </c>
      <c r="D61" s="36" t="n">
        <v>458</v>
      </c>
      <c r="E61" s="36" t="n">
        <v>417</v>
      </c>
      <c r="F61" s="36" t="n">
        <v>0</v>
      </c>
      <c r="G61" s="36" t="n">
        <v>875</v>
      </c>
      <c r="H61" s="37">
        <f>G61/C61</f>
        <v/>
      </c>
      <c r="I61" s="36" t="n">
        <v>0</v>
      </c>
      <c r="J61" s="36" t="n">
        <v>0</v>
      </c>
      <c r="K61" s="36" t="n">
        <v>5</v>
      </c>
      <c r="L61" s="36" t="n">
        <v>216</v>
      </c>
      <c r="M61" s="36" t="n">
        <v>482</v>
      </c>
      <c r="N61" s="36" t="n">
        <v>144</v>
      </c>
      <c r="O61" s="36" t="n">
        <v>3</v>
      </c>
      <c r="P61" s="36" t="n">
        <v>3</v>
      </c>
      <c r="Q61" s="36" t="n">
        <v>0</v>
      </c>
      <c r="R61" s="36" t="n">
        <v>2</v>
      </c>
      <c r="S61" s="36" t="n">
        <v>2</v>
      </c>
      <c r="T61" s="36" t="n">
        <v>4</v>
      </c>
      <c r="U61" s="36" t="n">
        <v>3</v>
      </c>
      <c r="V61" s="36" t="n">
        <v>3</v>
      </c>
      <c r="W61" s="36" t="n">
        <v>2</v>
      </c>
      <c r="X61" s="36" t="n">
        <v>6</v>
      </c>
      <c r="Y61" s="38">
        <f>SUM(K61:X61)</f>
        <v/>
      </c>
      <c r="Z61" s="39">
        <f>G61-Y61</f>
        <v/>
      </c>
      <c r="AA61" s="50">
        <f>INDEX($K$3:$X$3, MATCH(MAX(K61:X61), K61:X61, 0))</f>
        <v/>
      </c>
      <c r="AB61" s="51">
        <f>LARGE(K61:X61, 1) - LARGE(K61:X61, 2)</f>
        <v/>
      </c>
    </row>
    <row r="62" ht="19" customHeight="1">
      <c r="A62" s="18" t="n">
        <v>59</v>
      </c>
      <c r="B62" s="19" t="inlineStr">
        <is>
          <t>PRATHMIK VIDYALAYA ROOM NO. 2 ALAMPUR</t>
        </is>
      </c>
      <c r="C62" s="31" t="n">
        <v>1418</v>
      </c>
      <c r="D62" s="31" t="n">
        <v>586</v>
      </c>
      <c r="E62" s="31" t="n">
        <v>554</v>
      </c>
      <c r="F62" s="31" t="n">
        <v>0</v>
      </c>
      <c r="G62" s="31" t="n">
        <v>1140</v>
      </c>
      <c r="H62" s="32">
        <f>G62/C62</f>
        <v/>
      </c>
      <c r="I62" s="31" t="n">
        <v>0</v>
      </c>
      <c r="J62" s="31" t="n">
        <v>0</v>
      </c>
      <c r="K62" s="31" t="n">
        <v>3</v>
      </c>
      <c r="L62" s="31" t="n">
        <v>547</v>
      </c>
      <c r="M62" s="31" t="n">
        <v>505</v>
      </c>
      <c r="N62" s="31" t="n">
        <v>37</v>
      </c>
      <c r="O62" s="31" t="n">
        <v>5</v>
      </c>
      <c r="P62" s="31" t="n">
        <v>4</v>
      </c>
      <c r="Q62" s="31" t="n">
        <v>3</v>
      </c>
      <c r="R62" s="31" t="n">
        <v>2</v>
      </c>
      <c r="S62" s="31" t="n">
        <v>2</v>
      </c>
      <c r="T62" s="31" t="n">
        <v>2</v>
      </c>
      <c r="U62" s="31" t="n">
        <v>14</v>
      </c>
      <c r="V62" s="31" t="n">
        <v>5</v>
      </c>
      <c r="W62" s="31" t="n">
        <v>4</v>
      </c>
      <c r="X62" s="31" t="n">
        <v>7</v>
      </c>
      <c r="Y62" s="20">
        <f>SUM(K62:X62)</f>
        <v/>
      </c>
      <c r="Z62" s="33">
        <f>G62-Y62</f>
        <v/>
      </c>
      <c r="AA62" s="48">
        <f>INDEX($K$3:$X$3, MATCH(MAX(K62:X62), K62:X62, 0))</f>
        <v/>
      </c>
      <c r="AB62" s="49">
        <f>LARGE(K62:X62, 1) - LARGE(K62:X62, 2)</f>
        <v/>
      </c>
    </row>
    <row r="63" ht="19" customHeight="1">
      <c r="A63" s="34" t="n">
        <v>60</v>
      </c>
      <c r="B63" s="35" t="inlineStr">
        <is>
          <t>PRATHMIK VIDYALAYA ROOM NO. 1 SADHOLI BHOOD</t>
        </is>
      </c>
      <c r="C63" s="36" t="n">
        <v>1310</v>
      </c>
      <c r="D63" s="36" t="n">
        <v>546</v>
      </c>
      <c r="E63" s="36" t="n">
        <v>512</v>
      </c>
      <c r="F63" s="36" t="n">
        <v>0</v>
      </c>
      <c r="G63" s="36" t="n">
        <v>1058</v>
      </c>
      <c r="H63" s="37">
        <f>G63/C63</f>
        <v/>
      </c>
      <c r="I63" s="36" t="n">
        <v>0</v>
      </c>
      <c r="J63" s="36" t="n">
        <v>0</v>
      </c>
      <c r="K63" s="36" t="n">
        <v>12</v>
      </c>
      <c r="L63" s="36" t="n">
        <v>283</v>
      </c>
      <c r="M63" s="36" t="n">
        <v>377</v>
      </c>
      <c r="N63" s="36" t="n">
        <v>339</v>
      </c>
      <c r="O63" s="36" t="n">
        <v>8</v>
      </c>
      <c r="P63" s="36" t="n">
        <v>4</v>
      </c>
      <c r="Q63" s="36" t="n">
        <v>2</v>
      </c>
      <c r="R63" s="36" t="n">
        <v>7</v>
      </c>
      <c r="S63" s="36" t="n">
        <v>1</v>
      </c>
      <c r="T63" s="36" t="n">
        <v>1</v>
      </c>
      <c r="U63" s="36" t="n">
        <v>2</v>
      </c>
      <c r="V63" s="36" t="n">
        <v>7</v>
      </c>
      <c r="W63" s="36" t="n">
        <v>8</v>
      </c>
      <c r="X63" s="36" t="n">
        <v>7</v>
      </c>
      <c r="Y63" s="38">
        <f>SUM(K63:X63)</f>
        <v/>
      </c>
      <c r="Z63" s="39">
        <f>G63-Y63</f>
        <v/>
      </c>
      <c r="AA63" s="50">
        <f>INDEX($K$3:$X$3, MATCH(MAX(K63:X63), K63:X63, 0))</f>
        <v/>
      </c>
      <c r="AB63" s="51">
        <f>LARGE(K63:X63, 1) - LARGE(K63:X63, 2)</f>
        <v/>
      </c>
    </row>
    <row r="64" ht="19" customHeight="1">
      <c r="A64" s="18" t="n">
        <v>61</v>
      </c>
      <c r="B64" s="19" t="inlineStr">
        <is>
          <t>PUBLIC INTER COLLEGE ROOM NO. 24 SADHOLI KADEEM</t>
        </is>
      </c>
      <c r="C64" s="31" t="n">
        <v>823</v>
      </c>
      <c r="D64" s="31" t="n">
        <v>338</v>
      </c>
      <c r="E64" s="31" t="n">
        <v>303</v>
      </c>
      <c r="F64" s="31" t="n">
        <v>0</v>
      </c>
      <c r="G64" s="31" t="n">
        <v>641</v>
      </c>
      <c r="H64" s="32">
        <f>G64/C64</f>
        <v/>
      </c>
      <c r="I64" s="31" t="n">
        <v>0</v>
      </c>
      <c r="J64" s="31" t="n">
        <v>0</v>
      </c>
      <c r="K64" s="31" t="n">
        <v>1</v>
      </c>
      <c r="L64" s="31" t="n">
        <v>85</v>
      </c>
      <c r="M64" s="31" t="n">
        <v>19</v>
      </c>
      <c r="N64" s="31" t="n">
        <v>525</v>
      </c>
      <c r="O64" s="31" t="n">
        <v>6</v>
      </c>
      <c r="P64" s="31" t="n">
        <v>2</v>
      </c>
      <c r="Q64" s="31" t="n">
        <v>0</v>
      </c>
      <c r="R64" s="31" t="n">
        <v>0</v>
      </c>
      <c r="S64" s="31" t="n">
        <v>0</v>
      </c>
      <c r="T64" s="31" t="n">
        <v>1</v>
      </c>
      <c r="U64" s="31" t="n">
        <v>1</v>
      </c>
      <c r="V64" s="31" t="n">
        <v>1</v>
      </c>
      <c r="W64" s="31" t="n">
        <v>0</v>
      </c>
      <c r="X64" s="31" t="n">
        <v>0</v>
      </c>
      <c r="Y64" s="20">
        <f>SUM(K64:X64)</f>
        <v/>
      </c>
      <c r="Z64" s="33">
        <f>G64-Y64</f>
        <v/>
      </c>
      <c r="AA64" s="48">
        <f>INDEX($K$3:$X$3, MATCH(MAX(K64:X64), K64:X64, 0))</f>
        <v/>
      </c>
      <c r="AB64" s="49">
        <f>LARGE(K64:X64, 1) - LARGE(K64:X64, 2)</f>
        <v/>
      </c>
    </row>
    <row r="65" ht="19" customHeight="1">
      <c r="A65" s="34" t="n">
        <v>62</v>
      </c>
      <c r="B65" s="35" t="inlineStr">
        <is>
          <t>PUBLIC INTER COLLEGE ROOM NO. 25 SADHOLI KADEEM</t>
        </is>
      </c>
      <c r="C65" s="36" t="n">
        <v>841</v>
      </c>
      <c r="D65" s="36" t="n">
        <v>316</v>
      </c>
      <c r="E65" s="36" t="n">
        <v>243</v>
      </c>
      <c r="F65" s="36" t="n">
        <v>0</v>
      </c>
      <c r="G65" s="36" t="n">
        <v>559</v>
      </c>
      <c r="H65" s="37">
        <f>G65/C65</f>
        <v/>
      </c>
      <c r="I65" s="36" t="n">
        <v>10</v>
      </c>
      <c r="J65" s="36" t="n">
        <v>0</v>
      </c>
      <c r="K65" s="36" t="n">
        <v>0</v>
      </c>
      <c r="L65" s="36" t="n">
        <v>54</v>
      </c>
      <c r="M65" s="36" t="n">
        <v>140</v>
      </c>
      <c r="N65" s="36" t="n">
        <v>346</v>
      </c>
      <c r="O65" s="36" t="n">
        <v>3</v>
      </c>
      <c r="P65" s="36" t="n">
        <v>1</v>
      </c>
      <c r="Q65" s="36" t="n">
        <v>1</v>
      </c>
      <c r="R65" s="36" t="n">
        <v>5</v>
      </c>
      <c r="S65" s="36" t="n">
        <v>2</v>
      </c>
      <c r="T65" s="36" t="n">
        <v>2</v>
      </c>
      <c r="U65" s="36" t="n">
        <v>3</v>
      </c>
      <c r="V65" s="36" t="n">
        <v>2</v>
      </c>
      <c r="W65" s="36" t="n">
        <v>0</v>
      </c>
      <c r="X65" s="36" t="n">
        <v>0</v>
      </c>
      <c r="Y65" s="38">
        <f>SUM(K65:X65)</f>
        <v/>
      </c>
      <c r="Z65" s="39">
        <f>G65-Y65</f>
        <v/>
      </c>
      <c r="AA65" s="50">
        <f>INDEX($K$3:$X$3, MATCH(MAX(K65:X65), K65:X65, 0))</f>
        <v/>
      </c>
      <c r="AB65" s="51">
        <f>LARGE(K65:X65, 1) - LARGE(K65:X65, 2)</f>
        <v/>
      </c>
    </row>
    <row r="66" ht="19" customHeight="1">
      <c r="A66" s="18" t="n">
        <v>63</v>
      </c>
      <c r="B66" s="19" t="inlineStr">
        <is>
          <t>PUBLIC INTER COLLEGE ROOM NO. 23 SADHOLI KADEEM</t>
        </is>
      </c>
      <c r="C66" s="31" t="n">
        <v>781</v>
      </c>
      <c r="D66" s="31" t="n">
        <v>307</v>
      </c>
      <c r="E66" s="31" t="n">
        <v>295</v>
      </c>
      <c r="F66" s="31" t="n">
        <v>0</v>
      </c>
      <c r="G66" s="31" t="n">
        <v>602</v>
      </c>
      <c r="H66" s="32">
        <f>G66/C66</f>
        <v/>
      </c>
      <c r="I66" s="31" t="n">
        <v>102</v>
      </c>
      <c r="J66" s="31" t="n">
        <v>0</v>
      </c>
      <c r="K66" s="31" t="n">
        <v>3</v>
      </c>
      <c r="L66" s="31" t="n">
        <v>300</v>
      </c>
      <c r="M66" s="31" t="n">
        <v>149</v>
      </c>
      <c r="N66" s="31" t="n">
        <v>122</v>
      </c>
      <c r="O66" s="31" t="n">
        <v>5</v>
      </c>
      <c r="P66" s="31" t="n">
        <v>3</v>
      </c>
      <c r="Q66" s="31" t="n">
        <v>1</v>
      </c>
      <c r="R66" s="31" t="n">
        <v>1</v>
      </c>
      <c r="S66" s="31" t="n">
        <v>1</v>
      </c>
      <c r="T66" s="31" t="n">
        <v>2</v>
      </c>
      <c r="U66" s="31" t="n">
        <v>3</v>
      </c>
      <c r="V66" s="31" t="n">
        <v>3</v>
      </c>
      <c r="W66" s="31" t="n">
        <v>5</v>
      </c>
      <c r="X66" s="31" t="n">
        <v>4</v>
      </c>
      <c r="Y66" s="20">
        <f>SUM(K66:X66)</f>
        <v/>
      </c>
      <c r="Z66" s="33">
        <f>G66-Y66</f>
        <v/>
      </c>
      <c r="AA66" s="48">
        <f>INDEX($K$3:$X$3, MATCH(MAX(K66:X66), K66:X66, 0))</f>
        <v/>
      </c>
      <c r="AB66" s="49">
        <f>LARGE(K66:X66, 1) - LARGE(K66:X66, 2)</f>
        <v/>
      </c>
    </row>
    <row r="67" ht="19" customHeight="1">
      <c r="A67" s="34" t="n">
        <v>64</v>
      </c>
      <c r="B67" s="35" t="inlineStr">
        <is>
          <t>PUBLIC INTER COLLEGE ROOM NO. 26 SADHOLI KADEEM</t>
        </is>
      </c>
      <c r="C67" s="36" t="n">
        <v>1163</v>
      </c>
      <c r="D67" s="36" t="n">
        <v>437</v>
      </c>
      <c r="E67" s="36" t="n">
        <v>423</v>
      </c>
      <c r="F67" s="36" t="n">
        <v>0</v>
      </c>
      <c r="G67" s="36" t="n">
        <v>860</v>
      </c>
      <c r="H67" s="37">
        <f>G67/C67</f>
        <v/>
      </c>
      <c r="I67" s="36" t="n">
        <v>160</v>
      </c>
      <c r="J67" s="36" t="n">
        <v>0</v>
      </c>
      <c r="K67" s="36" t="n">
        <v>5</v>
      </c>
      <c r="L67" s="36" t="n">
        <v>256</v>
      </c>
      <c r="M67" s="36" t="n">
        <v>509</v>
      </c>
      <c r="N67" s="36" t="n">
        <v>33</v>
      </c>
      <c r="O67" s="36" t="n">
        <v>12</v>
      </c>
      <c r="P67" s="36" t="n">
        <v>5</v>
      </c>
      <c r="Q67" s="36" t="n">
        <v>2</v>
      </c>
      <c r="R67" s="36" t="n">
        <v>14</v>
      </c>
      <c r="S67" s="36" t="n">
        <v>1</v>
      </c>
      <c r="T67" s="36" t="n">
        <v>3</v>
      </c>
      <c r="U67" s="36" t="n">
        <v>1</v>
      </c>
      <c r="V67" s="36" t="n">
        <v>5</v>
      </c>
      <c r="W67" s="36" t="n">
        <v>10</v>
      </c>
      <c r="X67" s="36" t="n">
        <v>4</v>
      </c>
      <c r="Y67" s="38">
        <f>SUM(K67:X67)</f>
        <v/>
      </c>
      <c r="Z67" s="39">
        <f>G67-Y67</f>
        <v/>
      </c>
      <c r="AA67" s="50">
        <f>INDEX($K$3:$X$3, MATCH(MAX(K67:X67), K67:X67, 0))</f>
        <v/>
      </c>
      <c r="AB67" s="51">
        <f>LARGE(K67:X67, 1) - LARGE(K67:X67, 2)</f>
        <v/>
      </c>
    </row>
    <row r="68" ht="19" customHeight="1">
      <c r="A68" s="18" t="n">
        <v>65</v>
      </c>
      <c r="B68" s="19" t="inlineStr">
        <is>
          <t>PRATHMIK VIDYALAYA ROOM NO. 1 HATHOLI</t>
        </is>
      </c>
      <c r="C68" s="31" t="n">
        <v>936</v>
      </c>
      <c r="D68" s="31" t="n">
        <v>360</v>
      </c>
      <c r="E68" s="31" t="n">
        <v>343</v>
      </c>
      <c r="F68" s="31" t="n">
        <v>0</v>
      </c>
      <c r="G68" s="31" t="n">
        <v>703</v>
      </c>
      <c r="H68" s="32">
        <f>G68/C68</f>
        <v/>
      </c>
      <c r="I68" s="31" t="n">
        <v>1</v>
      </c>
      <c r="J68" s="31" t="n">
        <v>0</v>
      </c>
      <c r="K68" s="31" t="n">
        <v>2</v>
      </c>
      <c r="L68" s="31" t="n">
        <v>159</v>
      </c>
      <c r="M68" s="31" t="n">
        <v>172</v>
      </c>
      <c r="N68" s="31" t="n">
        <v>345</v>
      </c>
      <c r="O68" s="31" t="n">
        <v>1</v>
      </c>
      <c r="P68" s="31" t="n">
        <v>0</v>
      </c>
      <c r="Q68" s="31" t="n">
        <v>0</v>
      </c>
      <c r="R68" s="31" t="n">
        <v>5</v>
      </c>
      <c r="S68" s="31" t="n">
        <v>0</v>
      </c>
      <c r="T68" s="31" t="n">
        <v>2</v>
      </c>
      <c r="U68" s="31" t="n">
        <v>5</v>
      </c>
      <c r="V68" s="31" t="n">
        <v>1</v>
      </c>
      <c r="W68" s="31" t="n">
        <v>5</v>
      </c>
      <c r="X68" s="31" t="n">
        <v>6</v>
      </c>
      <c r="Y68" s="20">
        <f>SUM(K68:X68)</f>
        <v/>
      </c>
      <c r="Z68" s="33">
        <f>G68-Y68</f>
        <v/>
      </c>
      <c r="AA68" s="48">
        <f>INDEX($K$3:$X$3, MATCH(MAX(K68:X68), K68:X68, 0))</f>
        <v/>
      </c>
      <c r="AB68" s="49">
        <f>LARGE(K68:X68, 1) - LARGE(K68:X68, 2)</f>
        <v/>
      </c>
    </row>
    <row r="69" ht="19" customHeight="1">
      <c r="A69" s="34" t="n">
        <v>66</v>
      </c>
      <c r="B69" s="35" t="inlineStr">
        <is>
          <t>PRATHMIK VIDYALAYA ROOM NO. 2 HATHOLI</t>
        </is>
      </c>
      <c r="C69" s="36" t="n">
        <v>948</v>
      </c>
      <c r="D69" s="36" t="n">
        <v>389</v>
      </c>
      <c r="E69" s="36" t="n">
        <v>350</v>
      </c>
      <c r="F69" s="36" t="n">
        <v>0</v>
      </c>
      <c r="G69" s="36" t="n">
        <v>739</v>
      </c>
      <c r="H69" s="37">
        <f>G69/C69</f>
        <v/>
      </c>
      <c r="I69" s="36" t="n">
        <v>21</v>
      </c>
      <c r="J69" s="36" t="n">
        <v>0</v>
      </c>
      <c r="K69" s="36" t="n">
        <v>0</v>
      </c>
      <c r="L69" s="36" t="n">
        <v>31</v>
      </c>
      <c r="M69" s="36" t="n">
        <v>190</v>
      </c>
      <c r="N69" s="36" t="n">
        <v>505</v>
      </c>
      <c r="O69" s="36" t="n">
        <v>3</v>
      </c>
      <c r="P69" s="36" t="n">
        <v>0</v>
      </c>
      <c r="Q69" s="36" t="n">
        <v>0</v>
      </c>
      <c r="R69" s="36" t="n">
        <v>0</v>
      </c>
      <c r="S69" s="36" t="n">
        <v>0</v>
      </c>
      <c r="T69" s="36" t="n">
        <v>2</v>
      </c>
      <c r="U69" s="36" t="n">
        <v>5</v>
      </c>
      <c r="V69" s="36" t="n">
        <v>0</v>
      </c>
      <c r="W69" s="36" t="n">
        <v>2</v>
      </c>
      <c r="X69" s="36" t="n">
        <v>1</v>
      </c>
      <c r="Y69" s="38">
        <f>SUM(K69:X69)</f>
        <v/>
      </c>
      <c r="Z69" s="39">
        <f>G69-Y69</f>
        <v/>
      </c>
      <c r="AA69" s="50">
        <f>INDEX($K$3:$X$3, MATCH(MAX(K69:X69), K69:X69, 0))</f>
        <v/>
      </c>
      <c r="AB69" s="51">
        <f>LARGE(K69:X69, 1) - LARGE(K69:X69, 2)</f>
        <v/>
      </c>
    </row>
    <row r="70" ht="19" customHeight="1">
      <c r="A70" s="18" t="n">
        <v>67</v>
      </c>
      <c r="B70" s="19" t="inlineStr">
        <is>
          <t>PRATHMIK VIDYALAYA ROOM NO. 1 ISHAKPUR CHANCHI</t>
        </is>
      </c>
      <c r="C70" s="31" t="n">
        <v>1270</v>
      </c>
      <c r="D70" s="31" t="n">
        <v>533</v>
      </c>
      <c r="E70" s="31" t="n">
        <v>487</v>
      </c>
      <c r="F70" s="31" t="n">
        <v>0</v>
      </c>
      <c r="G70" s="31" t="n">
        <v>1020</v>
      </c>
      <c r="H70" s="32">
        <f>G70/C70</f>
        <v/>
      </c>
      <c r="I70" s="31" t="n">
        <v>2</v>
      </c>
      <c r="J70" s="31" t="n">
        <v>0</v>
      </c>
      <c r="K70" s="31" t="n">
        <v>1</v>
      </c>
      <c r="L70" s="31" t="n">
        <v>414</v>
      </c>
      <c r="M70" s="31" t="n">
        <v>253</v>
      </c>
      <c r="N70" s="31" t="n">
        <v>320</v>
      </c>
      <c r="O70" s="31" t="n">
        <v>6</v>
      </c>
      <c r="P70" s="31" t="n">
        <v>3</v>
      </c>
      <c r="Q70" s="31" t="n">
        <v>2</v>
      </c>
      <c r="R70" s="31" t="n">
        <v>2</v>
      </c>
      <c r="S70" s="31" t="n">
        <v>1</v>
      </c>
      <c r="T70" s="31" t="n">
        <v>0</v>
      </c>
      <c r="U70" s="31" t="n">
        <v>2</v>
      </c>
      <c r="V70" s="31" t="n">
        <v>4</v>
      </c>
      <c r="W70" s="31" t="n">
        <v>4</v>
      </c>
      <c r="X70" s="31" t="n">
        <v>8</v>
      </c>
      <c r="Y70" s="20">
        <f>SUM(K70:X70)</f>
        <v/>
      </c>
      <c r="Z70" s="33">
        <f>G70-Y70</f>
        <v/>
      </c>
      <c r="AA70" s="48">
        <f>INDEX($K$3:$X$3, MATCH(MAX(K70:X70), K70:X70, 0))</f>
        <v/>
      </c>
      <c r="AB70" s="49">
        <f>LARGE(K70:X70, 1) - LARGE(K70:X70, 2)</f>
        <v/>
      </c>
    </row>
    <row r="71" ht="19" customHeight="1">
      <c r="A71" s="34" t="n">
        <v>68</v>
      </c>
      <c r="B71" s="35" t="inlineStr">
        <is>
          <t>PRATHMIK VIDYALAYA ROOM NO. 1 LODIPUR</t>
        </is>
      </c>
      <c r="C71" s="36" t="n">
        <v>1430</v>
      </c>
      <c r="D71" s="36" t="n">
        <v>580</v>
      </c>
      <c r="E71" s="36" t="n">
        <v>497</v>
      </c>
      <c r="F71" s="36" t="n">
        <v>0</v>
      </c>
      <c r="G71" s="36" t="n">
        <v>1077</v>
      </c>
      <c r="H71" s="37">
        <f>G71/C71</f>
        <v/>
      </c>
      <c r="I71" s="36" t="n">
        <v>12</v>
      </c>
      <c r="J71" s="36" t="n">
        <v>0</v>
      </c>
      <c r="K71" s="36" t="n">
        <v>4</v>
      </c>
      <c r="L71" s="36" t="n">
        <v>349</v>
      </c>
      <c r="M71" s="36" t="n">
        <v>446</v>
      </c>
      <c r="N71" s="36" t="n">
        <v>258</v>
      </c>
      <c r="O71" s="36" t="n">
        <v>4</v>
      </c>
      <c r="P71" s="36" t="n">
        <v>1</v>
      </c>
      <c r="Q71" s="36" t="n">
        <v>0</v>
      </c>
      <c r="R71" s="36" t="n">
        <v>1</v>
      </c>
      <c r="S71" s="36" t="n">
        <v>0</v>
      </c>
      <c r="T71" s="36" t="n">
        <v>0</v>
      </c>
      <c r="U71" s="36" t="n">
        <v>1</v>
      </c>
      <c r="V71" s="36" t="n">
        <v>1</v>
      </c>
      <c r="W71" s="36" t="n">
        <v>4</v>
      </c>
      <c r="X71" s="36" t="n">
        <v>8</v>
      </c>
      <c r="Y71" s="38">
        <f>SUM(K71:X71)</f>
        <v/>
      </c>
      <c r="Z71" s="39">
        <f>G71-Y71</f>
        <v/>
      </c>
      <c r="AA71" s="50">
        <f>INDEX($K$3:$X$3, MATCH(MAX(K71:X71), K71:X71, 0))</f>
        <v/>
      </c>
      <c r="AB71" s="51">
        <f>LARGE(K71:X71, 1) - LARGE(K71:X71, 2)</f>
        <v/>
      </c>
    </row>
    <row r="72" ht="19" customHeight="1">
      <c r="A72" s="18" t="n">
        <v>69</v>
      </c>
      <c r="B72" s="19" t="inlineStr">
        <is>
          <t>PRATHMIK VIDYALAYA ROOM NO. 2 LODIPUR</t>
        </is>
      </c>
      <c r="C72" s="31" t="n">
        <v>887</v>
      </c>
      <c r="D72" s="31" t="n">
        <v>306</v>
      </c>
      <c r="E72" s="31" t="n">
        <v>294</v>
      </c>
      <c r="F72" s="31" t="n">
        <v>0</v>
      </c>
      <c r="G72" s="31" t="n">
        <v>600</v>
      </c>
      <c r="H72" s="32">
        <f>G72/C72</f>
        <v/>
      </c>
      <c r="I72" s="31" t="n">
        <v>0</v>
      </c>
      <c r="J72" s="31" t="n">
        <v>0</v>
      </c>
      <c r="K72" s="31" t="n">
        <v>2</v>
      </c>
      <c r="L72" s="31" t="n">
        <v>261</v>
      </c>
      <c r="M72" s="31" t="n">
        <v>229</v>
      </c>
      <c r="N72" s="31" t="n">
        <v>78</v>
      </c>
      <c r="O72" s="31" t="n">
        <v>4</v>
      </c>
      <c r="P72" s="31" t="n">
        <v>4</v>
      </c>
      <c r="Q72" s="31" t="n">
        <v>2</v>
      </c>
      <c r="R72" s="31" t="n">
        <v>3</v>
      </c>
      <c r="S72" s="31" t="n">
        <v>0</v>
      </c>
      <c r="T72" s="31" t="n">
        <v>3</v>
      </c>
      <c r="U72" s="31" t="n">
        <v>0</v>
      </c>
      <c r="V72" s="31" t="n">
        <v>2</v>
      </c>
      <c r="W72" s="31" t="n">
        <v>3</v>
      </c>
      <c r="X72" s="31" t="n">
        <v>9</v>
      </c>
      <c r="Y72" s="20">
        <f>SUM(K72:X72)</f>
        <v/>
      </c>
      <c r="Z72" s="33">
        <f>G72-Y72</f>
        <v/>
      </c>
      <c r="AA72" s="48">
        <f>INDEX($K$3:$X$3, MATCH(MAX(K72:X72), K72:X72, 0))</f>
        <v/>
      </c>
      <c r="AB72" s="49">
        <f>LARGE(K72:X72, 1) - LARGE(K72:X72, 2)</f>
        <v/>
      </c>
    </row>
    <row r="73" ht="19" customHeight="1">
      <c r="A73" s="34" t="n">
        <v>70</v>
      </c>
      <c r="B73" s="35" t="inlineStr">
        <is>
          <t>YAMUNA KHADER INTER COLLEGE KAMBOH MAJRA ROOM NO. 8 RASOOLPUR</t>
        </is>
      </c>
      <c r="C73" s="36" t="n">
        <v>485</v>
      </c>
      <c r="D73" s="36" t="n">
        <v>193</v>
      </c>
      <c r="E73" s="36" t="n">
        <v>177</v>
      </c>
      <c r="F73" s="36" t="n">
        <v>0</v>
      </c>
      <c r="G73" s="36" t="n">
        <v>370</v>
      </c>
      <c r="H73" s="37">
        <f>G73/C73</f>
        <v/>
      </c>
      <c r="I73" s="36" t="n">
        <v>65</v>
      </c>
      <c r="J73" s="36" t="n">
        <v>0</v>
      </c>
      <c r="K73" s="36" t="n">
        <v>1</v>
      </c>
      <c r="L73" s="36" t="n">
        <v>126</v>
      </c>
      <c r="M73" s="36" t="n">
        <v>69</v>
      </c>
      <c r="N73" s="36" t="n">
        <v>162</v>
      </c>
      <c r="O73" s="36" t="n">
        <v>4</v>
      </c>
      <c r="P73" s="36" t="n">
        <v>1</v>
      </c>
      <c r="Q73" s="36" t="n">
        <v>1</v>
      </c>
      <c r="R73" s="36" t="n">
        <v>1</v>
      </c>
      <c r="S73" s="36" t="n">
        <v>0</v>
      </c>
      <c r="T73" s="36" t="n">
        <v>0</v>
      </c>
      <c r="U73" s="36" t="n">
        <v>1</v>
      </c>
      <c r="V73" s="36" t="n">
        <v>0</v>
      </c>
      <c r="W73" s="36" t="n">
        <v>1</v>
      </c>
      <c r="X73" s="36" t="n">
        <v>3</v>
      </c>
      <c r="Y73" s="38">
        <f>SUM(K73:X73)</f>
        <v/>
      </c>
      <c r="Z73" s="39">
        <f>G73-Y73</f>
        <v/>
      </c>
      <c r="AA73" s="50">
        <f>INDEX($K$3:$X$3, MATCH(MAX(K73:X73), K73:X73, 0))</f>
        <v/>
      </c>
      <c r="AB73" s="51">
        <f>LARGE(K73:X73, 1) - LARGE(K73:X73, 2)</f>
        <v/>
      </c>
    </row>
    <row r="74" ht="19" customHeight="1">
      <c r="A74" s="18" t="n">
        <v>71</v>
      </c>
      <c r="B74" s="19" t="inlineStr">
        <is>
          <t>YAMUNA KHADER INTER COLLEGE KAMBOH MAJRA ROOM NO. 10 RASOOLPUR</t>
        </is>
      </c>
      <c r="C74" s="31" t="n">
        <v>1216</v>
      </c>
      <c r="D74" s="31" t="n">
        <v>527</v>
      </c>
      <c r="E74" s="31" t="n">
        <v>494</v>
      </c>
      <c r="F74" s="31" t="n">
        <v>0</v>
      </c>
      <c r="G74" s="31" t="n">
        <v>1021</v>
      </c>
      <c r="H74" s="32">
        <f>G74/C74</f>
        <v/>
      </c>
      <c r="I74" s="31" t="n">
        <v>501</v>
      </c>
      <c r="J74" s="31" t="n">
        <v>0</v>
      </c>
      <c r="K74" s="31" t="n">
        <v>3</v>
      </c>
      <c r="L74" s="31" t="n">
        <v>357</v>
      </c>
      <c r="M74" s="31" t="n">
        <v>187</v>
      </c>
      <c r="N74" s="31" t="n">
        <v>444</v>
      </c>
      <c r="O74" s="31" t="n">
        <v>12</v>
      </c>
      <c r="P74" s="31" t="n">
        <v>1</v>
      </c>
      <c r="Q74" s="31" t="n">
        <v>2</v>
      </c>
      <c r="R74" s="31" t="n">
        <v>4</v>
      </c>
      <c r="S74" s="31" t="n">
        <v>0</v>
      </c>
      <c r="T74" s="31" t="n">
        <v>1</v>
      </c>
      <c r="U74" s="31" t="n">
        <v>3</v>
      </c>
      <c r="V74" s="31" t="n">
        <v>2</v>
      </c>
      <c r="W74" s="31" t="n">
        <v>1</v>
      </c>
      <c r="X74" s="31" t="n">
        <v>4</v>
      </c>
      <c r="Y74" s="20">
        <f>SUM(K74:X74)</f>
        <v/>
      </c>
      <c r="Z74" s="33">
        <f>G74-Y74</f>
        <v/>
      </c>
      <c r="AA74" s="48">
        <f>INDEX($K$3:$X$3, MATCH(MAX(K74:X74), K74:X74, 0))</f>
        <v/>
      </c>
      <c r="AB74" s="49">
        <f>LARGE(K74:X74, 1) - LARGE(K74:X74, 2)</f>
        <v/>
      </c>
    </row>
    <row r="75" ht="19" customHeight="1">
      <c r="A75" s="34" t="n">
        <v>72</v>
      </c>
      <c r="B75" s="35" t="inlineStr">
        <is>
          <t>PRATHMIK VIDYALAYA ROOM NO. 1 RASOOLPUR</t>
        </is>
      </c>
      <c r="C75" s="36" t="n">
        <v>1068</v>
      </c>
      <c r="D75" s="36" t="n">
        <v>464</v>
      </c>
      <c r="E75" s="36" t="n">
        <v>438</v>
      </c>
      <c r="F75" s="36" t="n">
        <v>0</v>
      </c>
      <c r="G75" s="36" t="n">
        <v>902</v>
      </c>
      <c r="H75" s="37">
        <f>G75/C75</f>
        <v/>
      </c>
      <c r="I75" s="36" t="n">
        <v>0</v>
      </c>
      <c r="J75" s="36" t="n">
        <v>0</v>
      </c>
      <c r="K75" s="36" t="n">
        <v>0</v>
      </c>
      <c r="L75" s="36" t="n">
        <v>120</v>
      </c>
      <c r="M75" s="36" t="n">
        <v>448</v>
      </c>
      <c r="N75" s="36" t="n">
        <v>309</v>
      </c>
      <c r="O75" s="36" t="n">
        <v>1</v>
      </c>
      <c r="P75" s="36" t="n">
        <v>2</v>
      </c>
      <c r="Q75" s="36" t="n">
        <v>2</v>
      </c>
      <c r="R75" s="36" t="n">
        <v>2</v>
      </c>
      <c r="S75" s="36" t="n">
        <v>0</v>
      </c>
      <c r="T75" s="36" t="n">
        <v>2</v>
      </c>
      <c r="U75" s="36" t="n">
        <v>2</v>
      </c>
      <c r="V75" s="36" t="n">
        <v>2</v>
      </c>
      <c r="W75" s="36" t="n">
        <v>5</v>
      </c>
      <c r="X75" s="36" t="n">
        <v>7</v>
      </c>
      <c r="Y75" s="38">
        <f>SUM(K75:X75)</f>
        <v/>
      </c>
      <c r="Z75" s="39">
        <f>G75-Y75</f>
        <v/>
      </c>
      <c r="AA75" s="50">
        <f>INDEX($K$3:$X$3, MATCH(MAX(K75:X75), K75:X75, 0))</f>
        <v/>
      </c>
      <c r="AB75" s="51">
        <f>LARGE(K75:X75, 1) - LARGE(K75:X75, 2)</f>
        <v/>
      </c>
    </row>
    <row r="76" ht="19" customHeight="1">
      <c r="A76" s="18" t="n">
        <v>73</v>
      </c>
      <c r="B76" s="19" t="inlineStr">
        <is>
          <t>PRATHMIK VIDYALAYA ROOM NO. 1 KHIJARPUR CHACK MUSTFAPUR</t>
        </is>
      </c>
      <c r="C76" s="31" t="n">
        <v>1389</v>
      </c>
      <c r="D76" s="31" t="n">
        <v>565</v>
      </c>
      <c r="E76" s="31" t="n">
        <v>557</v>
      </c>
      <c r="F76" s="31" t="n">
        <v>0</v>
      </c>
      <c r="G76" s="31" t="n">
        <v>1122</v>
      </c>
      <c r="H76" s="32">
        <f>G76/C76</f>
        <v/>
      </c>
      <c r="I76" s="31" t="n">
        <v>8</v>
      </c>
      <c r="J76" s="31" t="n">
        <v>0</v>
      </c>
      <c r="K76" s="31" t="n">
        <v>9</v>
      </c>
      <c r="L76" s="31" t="n">
        <v>344</v>
      </c>
      <c r="M76" s="31" t="n">
        <v>279</v>
      </c>
      <c r="N76" s="31" t="n">
        <v>443</v>
      </c>
      <c r="O76" s="31" t="n">
        <v>10</v>
      </c>
      <c r="P76" s="31" t="n">
        <v>6</v>
      </c>
      <c r="Q76" s="31" t="n">
        <v>1</v>
      </c>
      <c r="R76" s="31" t="n">
        <v>4</v>
      </c>
      <c r="S76" s="31" t="n">
        <v>3</v>
      </c>
      <c r="T76" s="31" t="n">
        <v>2</v>
      </c>
      <c r="U76" s="31" t="n">
        <v>8</v>
      </c>
      <c r="V76" s="31" t="n">
        <v>2</v>
      </c>
      <c r="W76" s="31" t="n">
        <v>8</v>
      </c>
      <c r="X76" s="31" t="n">
        <v>3</v>
      </c>
      <c r="Y76" s="20">
        <f>SUM(K76:X76)</f>
        <v/>
      </c>
      <c r="Z76" s="33">
        <f>G76-Y76</f>
        <v/>
      </c>
      <c r="AA76" s="48">
        <f>INDEX($K$3:$X$3, MATCH(MAX(K76:X76), K76:X76, 0))</f>
        <v/>
      </c>
      <c r="AB76" s="49">
        <f>LARGE(K76:X76, 1) - LARGE(K76:X76, 2)</f>
        <v/>
      </c>
    </row>
    <row r="77" ht="19" customHeight="1">
      <c r="A77" s="34" t="n">
        <v>74</v>
      </c>
      <c r="B77" s="35" t="inlineStr">
        <is>
          <t>PRATHMIK VIDYALAYA ROOM NO. 1 TODERPUR</t>
        </is>
      </c>
      <c r="C77" s="36" t="n">
        <v>1040</v>
      </c>
      <c r="D77" s="36" t="n">
        <v>562</v>
      </c>
      <c r="E77" s="36" t="n">
        <v>375</v>
      </c>
      <c r="F77" s="36" t="n">
        <v>0</v>
      </c>
      <c r="G77" s="36" t="n">
        <v>937</v>
      </c>
      <c r="H77" s="37">
        <f>G77/C77</f>
        <v/>
      </c>
      <c r="I77" s="36" t="n">
        <v>3</v>
      </c>
      <c r="J77" s="36" t="n">
        <v>0</v>
      </c>
      <c r="K77" s="36" t="n">
        <v>4</v>
      </c>
      <c r="L77" s="36" t="n">
        <v>177</v>
      </c>
      <c r="M77" s="36" t="n">
        <v>455</v>
      </c>
      <c r="N77" s="36" t="n">
        <v>283</v>
      </c>
      <c r="O77" s="36" t="n">
        <v>2</v>
      </c>
      <c r="P77" s="36" t="n">
        <v>2</v>
      </c>
      <c r="Q77" s="36" t="n">
        <v>1</v>
      </c>
      <c r="R77" s="36" t="n">
        <v>5</v>
      </c>
      <c r="S77" s="36" t="n">
        <v>0</v>
      </c>
      <c r="T77" s="36" t="n">
        <v>0</v>
      </c>
      <c r="U77" s="36" t="n">
        <v>1</v>
      </c>
      <c r="V77" s="36" t="n">
        <v>2</v>
      </c>
      <c r="W77" s="36" t="n">
        <v>2</v>
      </c>
      <c r="X77" s="36" t="n">
        <v>3</v>
      </c>
      <c r="Y77" s="38">
        <f>SUM(K77:X77)</f>
        <v/>
      </c>
      <c r="Z77" s="39">
        <f>G77-Y77</f>
        <v/>
      </c>
      <c r="AA77" s="50">
        <f>INDEX($K$3:$X$3, MATCH(MAX(K77:X77), K77:X77, 0))</f>
        <v/>
      </c>
      <c r="AB77" s="51">
        <f>LARGE(K77:X77, 1) - LARGE(K77:X77, 2)</f>
        <v/>
      </c>
    </row>
    <row r="78" ht="19" customHeight="1">
      <c r="A78" s="18" t="n">
        <v>75</v>
      </c>
      <c r="B78" s="19" t="inlineStr">
        <is>
          <t>PRATHMIK VIDYALAYA ROOM NO. 2 TODERPUR</t>
        </is>
      </c>
      <c r="C78" s="31" t="n">
        <v>1089</v>
      </c>
      <c r="D78" s="31" t="n">
        <v>383</v>
      </c>
      <c r="E78" s="31" t="n">
        <v>344</v>
      </c>
      <c r="F78" s="31" t="n">
        <v>0</v>
      </c>
      <c r="G78" s="31" t="n">
        <v>727</v>
      </c>
      <c r="H78" s="32">
        <f>G78/C78</f>
        <v/>
      </c>
      <c r="I78" s="31" t="n">
        <v>0</v>
      </c>
      <c r="J78" s="31" t="n">
        <v>0</v>
      </c>
      <c r="K78" s="31" t="n">
        <v>1</v>
      </c>
      <c r="L78" s="31" t="n">
        <v>456</v>
      </c>
      <c r="M78" s="31" t="n">
        <v>215</v>
      </c>
      <c r="N78" s="31" t="n">
        <v>43</v>
      </c>
      <c r="O78" s="31" t="n">
        <v>2</v>
      </c>
      <c r="P78" s="31" t="n">
        <v>1</v>
      </c>
      <c r="Q78" s="31" t="n">
        <v>1</v>
      </c>
      <c r="R78" s="31" t="n">
        <v>1</v>
      </c>
      <c r="S78" s="31" t="n">
        <v>0</v>
      </c>
      <c r="T78" s="31" t="n">
        <v>1</v>
      </c>
      <c r="U78" s="31" t="n">
        <v>0</v>
      </c>
      <c r="V78" s="31" t="n">
        <v>1</v>
      </c>
      <c r="W78" s="31" t="n">
        <v>3</v>
      </c>
      <c r="X78" s="31" t="n">
        <v>2</v>
      </c>
      <c r="Y78" s="20">
        <f>SUM(K78:X78)</f>
        <v/>
      </c>
      <c r="Z78" s="33">
        <f>G78-Y78</f>
        <v/>
      </c>
      <c r="AA78" s="48">
        <f>INDEX($K$3:$X$3, MATCH(MAX(K78:X78), K78:X78, 0))</f>
        <v/>
      </c>
      <c r="AB78" s="49">
        <f>LARGE(K78:X78, 1) - LARGE(K78:X78, 2)</f>
        <v/>
      </c>
    </row>
    <row r="79" ht="19" customHeight="1">
      <c r="A79" s="34" t="n">
        <v>76</v>
      </c>
      <c r="B79" s="35" t="inlineStr">
        <is>
          <t>PRATHMIK VIDYALAYA ROOM NO. 1 DABKOURA</t>
        </is>
      </c>
      <c r="C79" s="36" t="n">
        <v>1482</v>
      </c>
      <c r="D79" s="36" t="n">
        <v>562</v>
      </c>
      <c r="E79" s="36" t="n">
        <v>510</v>
      </c>
      <c r="F79" s="36" t="n">
        <v>0</v>
      </c>
      <c r="G79" s="36" t="n">
        <v>1072</v>
      </c>
      <c r="H79" s="37">
        <f>G79/C79</f>
        <v/>
      </c>
      <c r="I79" s="36" t="n">
        <v>180</v>
      </c>
      <c r="J79" s="36" t="n">
        <v>0</v>
      </c>
      <c r="K79" s="36" t="n">
        <v>10</v>
      </c>
      <c r="L79" s="36" t="n">
        <v>337</v>
      </c>
      <c r="M79" s="36" t="n">
        <v>555</v>
      </c>
      <c r="N79" s="36" t="n">
        <v>130</v>
      </c>
      <c r="O79" s="36" t="n">
        <v>3</v>
      </c>
      <c r="P79" s="36" t="n">
        <v>1</v>
      </c>
      <c r="Q79" s="36" t="n">
        <v>4</v>
      </c>
      <c r="R79" s="36" t="n">
        <v>11</v>
      </c>
      <c r="S79" s="36" t="n">
        <v>0</v>
      </c>
      <c r="T79" s="36" t="n">
        <v>3</v>
      </c>
      <c r="U79" s="36" t="n">
        <v>4</v>
      </c>
      <c r="V79" s="36" t="n">
        <v>8</v>
      </c>
      <c r="W79" s="36" t="n">
        <v>3</v>
      </c>
      <c r="X79" s="36" t="n">
        <v>3</v>
      </c>
      <c r="Y79" s="38">
        <f>SUM(K79:X79)</f>
        <v/>
      </c>
      <c r="Z79" s="39">
        <f>G79-Y79</f>
        <v/>
      </c>
      <c r="AA79" s="50">
        <f>INDEX($K$3:$X$3, MATCH(MAX(K79:X79), K79:X79, 0))</f>
        <v/>
      </c>
      <c r="AB79" s="51">
        <f>LARGE(K79:X79, 1) - LARGE(K79:X79, 2)</f>
        <v/>
      </c>
    </row>
    <row r="80" ht="19" customHeight="1">
      <c r="A80" s="18" t="n">
        <v>77</v>
      </c>
      <c r="B80" s="19" t="inlineStr">
        <is>
          <t>PRATHMIK VIDYALAYA ROOM NO. 2 DABKOURA</t>
        </is>
      </c>
      <c r="C80" s="31" t="n">
        <v>988</v>
      </c>
      <c r="D80" s="31" t="n">
        <v>394</v>
      </c>
      <c r="E80" s="31" t="n">
        <v>368</v>
      </c>
      <c r="F80" s="31" t="n">
        <v>0</v>
      </c>
      <c r="G80" s="31" t="n">
        <v>762</v>
      </c>
      <c r="H80" s="32">
        <f>G80/C80</f>
        <v/>
      </c>
      <c r="I80" s="31" t="n">
        <v>0</v>
      </c>
      <c r="J80" s="31" t="n">
        <v>0</v>
      </c>
      <c r="K80" s="31" t="n">
        <v>4</v>
      </c>
      <c r="L80" s="31" t="n">
        <v>149</v>
      </c>
      <c r="M80" s="31" t="n">
        <v>517</v>
      </c>
      <c r="N80" s="31" t="n">
        <v>62</v>
      </c>
      <c r="O80" s="31" t="n">
        <v>0</v>
      </c>
      <c r="P80" s="31" t="n">
        <v>0</v>
      </c>
      <c r="Q80" s="31" t="n">
        <v>3</v>
      </c>
      <c r="R80" s="31" t="n">
        <v>16</v>
      </c>
      <c r="S80" s="31" t="n">
        <v>0</v>
      </c>
      <c r="T80" s="31" t="n">
        <v>1</v>
      </c>
      <c r="U80" s="31" t="n">
        <v>0</v>
      </c>
      <c r="V80" s="31" t="n">
        <v>6</v>
      </c>
      <c r="W80" s="31" t="n">
        <v>1</v>
      </c>
      <c r="X80" s="31" t="n">
        <v>3</v>
      </c>
      <c r="Y80" s="20">
        <f>SUM(K80:X80)</f>
        <v/>
      </c>
      <c r="Z80" s="33">
        <f>G80-Y80</f>
        <v/>
      </c>
      <c r="AA80" s="48">
        <f>INDEX($K$3:$X$3, MATCH(MAX(K80:X80), K80:X80, 0))</f>
        <v/>
      </c>
      <c r="AB80" s="49">
        <f>LARGE(K80:X80, 1) - LARGE(K80:X80, 2)</f>
        <v/>
      </c>
    </row>
    <row r="81" ht="19" customHeight="1">
      <c r="A81" s="34" t="n">
        <v>78</v>
      </c>
      <c r="B81" s="35" t="inlineStr">
        <is>
          <t>PRATHMIK VIDYALAYA ROOM NO. 1 ROGLA HATHOLI</t>
        </is>
      </c>
      <c r="C81" s="36" t="n">
        <v>1061</v>
      </c>
      <c r="D81" s="36" t="n">
        <v>451</v>
      </c>
      <c r="E81" s="36" t="n">
        <v>442</v>
      </c>
      <c r="F81" s="36" t="n">
        <v>0</v>
      </c>
      <c r="G81" s="36" t="n">
        <v>893</v>
      </c>
      <c r="H81" s="37">
        <f>G81/C81</f>
        <v/>
      </c>
      <c r="I81" s="36" t="n">
        <v>0</v>
      </c>
      <c r="J81" s="36" t="n">
        <v>0</v>
      </c>
      <c r="K81" s="36" t="n">
        <v>0</v>
      </c>
      <c r="L81" s="36" t="n">
        <v>340</v>
      </c>
      <c r="M81" s="36" t="n">
        <v>333</v>
      </c>
      <c r="N81" s="36" t="n">
        <v>198</v>
      </c>
      <c r="O81" s="36" t="n">
        <v>3</v>
      </c>
      <c r="P81" s="36" t="n">
        <v>1</v>
      </c>
      <c r="Q81" s="36" t="n">
        <v>2</v>
      </c>
      <c r="R81" s="36" t="n">
        <v>2</v>
      </c>
      <c r="S81" s="36" t="n">
        <v>1</v>
      </c>
      <c r="T81" s="36" t="n">
        <v>0</v>
      </c>
      <c r="U81" s="36" t="n">
        <v>5</v>
      </c>
      <c r="V81" s="36" t="n">
        <v>3</v>
      </c>
      <c r="W81" s="36" t="n">
        <v>3</v>
      </c>
      <c r="X81" s="36" t="n">
        <v>2</v>
      </c>
      <c r="Y81" s="38">
        <f>SUM(K81:X81)</f>
        <v/>
      </c>
      <c r="Z81" s="39">
        <f>G81-Y81</f>
        <v/>
      </c>
      <c r="AA81" s="50">
        <f>INDEX($K$3:$X$3, MATCH(MAX(K81:X81), K81:X81, 0))</f>
        <v/>
      </c>
      <c r="AB81" s="51">
        <f>LARGE(K81:X81, 1) - LARGE(K81:X81, 2)</f>
        <v/>
      </c>
    </row>
    <row r="82" ht="19" customHeight="1">
      <c r="A82" s="18" t="n">
        <v>79</v>
      </c>
      <c r="B82" s="19" t="inlineStr">
        <is>
          <t>PRATHMIK VIDYALAYA ROOM NO. 1 PATHANPURA</t>
        </is>
      </c>
      <c r="C82" s="31" t="n">
        <v>991</v>
      </c>
      <c r="D82" s="31" t="n">
        <v>365</v>
      </c>
      <c r="E82" s="31" t="n">
        <v>339</v>
      </c>
      <c r="F82" s="31" t="n">
        <v>0</v>
      </c>
      <c r="G82" s="31" t="n">
        <v>704</v>
      </c>
      <c r="H82" s="32">
        <f>G82/C82</f>
        <v/>
      </c>
      <c r="I82" s="31" t="n">
        <v>0</v>
      </c>
      <c r="J82" s="31" t="n">
        <v>0</v>
      </c>
      <c r="K82" s="31" t="n">
        <v>4</v>
      </c>
      <c r="L82" s="31" t="n">
        <v>228</v>
      </c>
      <c r="M82" s="31" t="n">
        <v>417</v>
      </c>
      <c r="N82" s="31" t="n">
        <v>4</v>
      </c>
      <c r="O82" s="31" t="n">
        <v>0</v>
      </c>
      <c r="P82" s="31" t="n">
        <v>1</v>
      </c>
      <c r="Q82" s="31" t="n">
        <v>1</v>
      </c>
      <c r="R82" s="31" t="n">
        <v>41</v>
      </c>
      <c r="S82" s="31" t="n">
        <v>0</v>
      </c>
      <c r="T82" s="31" t="n">
        <v>0</v>
      </c>
      <c r="U82" s="31" t="n">
        <v>1</v>
      </c>
      <c r="V82" s="31" t="n">
        <v>2</v>
      </c>
      <c r="W82" s="31" t="n">
        <v>2</v>
      </c>
      <c r="X82" s="31" t="n">
        <v>3</v>
      </c>
      <c r="Y82" s="20">
        <f>SUM(K82:X82)</f>
        <v/>
      </c>
      <c r="Z82" s="33">
        <f>G82-Y82</f>
        <v/>
      </c>
      <c r="AA82" s="48">
        <f>INDEX($K$3:$X$3, MATCH(MAX(K82:X82), K82:X82, 0))</f>
        <v/>
      </c>
      <c r="AB82" s="49">
        <f>LARGE(K82:X82, 1) - LARGE(K82:X82, 2)</f>
        <v/>
      </c>
    </row>
    <row r="83" ht="19" customHeight="1">
      <c r="A83" s="34" t="n">
        <v>80</v>
      </c>
      <c r="B83" s="35" t="inlineStr">
        <is>
          <t>PRATHMIK VIDYALAYA ROOM NO. 2 PATHANPURA</t>
        </is>
      </c>
      <c r="C83" s="36" t="n">
        <v>1022</v>
      </c>
      <c r="D83" s="36" t="n">
        <v>360</v>
      </c>
      <c r="E83" s="36" t="n">
        <v>295</v>
      </c>
      <c r="F83" s="36" t="n">
        <v>0</v>
      </c>
      <c r="G83" s="36" t="n">
        <v>655</v>
      </c>
      <c r="H83" s="37">
        <f>G83/C83</f>
        <v/>
      </c>
      <c r="I83" s="36" t="n">
        <v>255</v>
      </c>
      <c r="J83" s="36" t="n">
        <v>0</v>
      </c>
      <c r="K83" s="36" t="n">
        <v>2</v>
      </c>
      <c r="L83" s="36" t="n">
        <v>202</v>
      </c>
      <c r="M83" s="36" t="n">
        <v>301</v>
      </c>
      <c r="N83" s="36" t="n">
        <v>136</v>
      </c>
      <c r="O83" s="36" t="n">
        <v>1</v>
      </c>
      <c r="P83" s="36" t="n">
        <v>0</v>
      </c>
      <c r="Q83" s="36" t="n">
        <v>0</v>
      </c>
      <c r="R83" s="36" t="n">
        <v>7</v>
      </c>
      <c r="S83" s="36" t="n">
        <v>0</v>
      </c>
      <c r="T83" s="36" t="n">
        <v>1</v>
      </c>
      <c r="U83" s="36" t="n">
        <v>1</v>
      </c>
      <c r="V83" s="36" t="n">
        <v>1</v>
      </c>
      <c r="W83" s="36" t="n">
        <v>3</v>
      </c>
      <c r="X83" s="36" t="n">
        <v>0</v>
      </c>
      <c r="Y83" s="38">
        <f>SUM(K83:X83)</f>
        <v/>
      </c>
      <c r="Z83" s="39">
        <f>G83-Y83</f>
        <v/>
      </c>
      <c r="AA83" s="50">
        <f>INDEX($K$3:$X$3, MATCH(MAX(K83:X83), K83:X83, 0))</f>
        <v/>
      </c>
      <c r="AB83" s="51">
        <f>LARGE(K83:X83, 1) - LARGE(K83:X83, 2)</f>
        <v/>
      </c>
    </row>
    <row r="84" ht="19" customHeight="1">
      <c r="A84" s="18" t="n">
        <v>81</v>
      </c>
      <c r="B84" s="19" t="inlineStr">
        <is>
          <t>PRATHMIK VIDYALAYA ROOM NO. 1 MARWA</t>
        </is>
      </c>
      <c r="C84" s="31" t="n">
        <v>1080</v>
      </c>
      <c r="D84" s="31" t="n">
        <v>487</v>
      </c>
      <c r="E84" s="31" t="n">
        <v>425</v>
      </c>
      <c r="F84" s="31" t="n">
        <v>0</v>
      </c>
      <c r="G84" s="31" t="n">
        <v>912</v>
      </c>
      <c r="H84" s="32">
        <f>G84/C84</f>
        <v/>
      </c>
      <c r="I84" s="31" t="n">
        <v>10</v>
      </c>
      <c r="J84" s="31" t="n">
        <v>0</v>
      </c>
      <c r="K84" s="31" t="n">
        <v>3</v>
      </c>
      <c r="L84" s="31" t="n">
        <v>433</v>
      </c>
      <c r="M84" s="31" t="n">
        <v>241</v>
      </c>
      <c r="N84" s="31" t="n">
        <v>218</v>
      </c>
      <c r="O84" s="31" t="n">
        <v>3</v>
      </c>
      <c r="P84" s="31" t="n">
        <v>1</v>
      </c>
      <c r="Q84" s="31" t="n">
        <v>0</v>
      </c>
      <c r="R84" s="31" t="n">
        <v>1</v>
      </c>
      <c r="S84" s="31" t="n">
        <v>0</v>
      </c>
      <c r="T84" s="31" t="n">
        <v>0</v>
      </c>
      <c r="U84" s="31" t="n">
        <v>5</v>
      </c>
      <c r="V84" s="31" t="n">
        <v>2</v>
      </c>
      <c r="W84" s="31" t="n">
        <v>4</v>
      </c>
      <c r="X84" s="31" t="n">
        <v>1</v>
      </c>
      <c r="Y84" s="20">
        <f>SUM(K84:X84)</f>
        <v/>
      </c>
      <c r="Z84" s="33">
        <f>G84-Y84</f>
        <v/>
      </c>
      <c r="AA84" s="48">
        <f>INDEX($K$3:$X$3, MATCH(MAX(K84:X84), K84:X84, 0))</f>
        <v/>
      </c>
      <c r="AB84" s="49">
        <f>LARGE(K84:X84, 1) - LARGE(K84:X84, 2)</f>
        <v/>
      </c>
    </row>
    <row r="85" ht="19" customHeight="1">
      <c r="A85" s="34" t="n">
        <v>82</v>
      </c>
      <c r="B85" s="35" t="inlineStr">
        <is>
          <t>PRATHMIK VIDYALAYA ROOM NO. 2 MARWA</t>
        </is>
      </c>
      <c r="C85" s="36" t="n">
        <v>1411</v>
      </c>
      <c r="D85" s="36" t="n">
        <v>592</v>
      </c>
      <c r="E85" s="36" t="n">
        <v>540</v>
      </c>
      <c r="F85" s="36" t="n">
        <v>0</v>
      </c>
      <c r="G85" s="36" t="n">
        <v>1132</v>
      </c>
      <c r="H85" s="37">
        <f>G85/C85</f>
        <v/>
      </c>
      <c r="I85" s="36" t="n">
        <v>0</v>
      </c>
      <c r="J85" s="36" t="n">
        <v>0</v>
      </c>
      <c r="K85" s="36" t="n">
        <v>6</v>
      </c>
      <c r="L85" s="36" t="n">
        <v>147</v>
      </c>
      <c r="M85" s="36" t="n">
        <v>825</v>
      </c>
      <c r="N85" s="36" t="n">
        <v>112</v>
      </c>
      <c r="O85" s="36" t="n">
        <v>2</v>
      </c>
      <c r="P85" s="36" t="n">
        <v>1</v>
      </c>
      <c r="Q85" s="36" t="n">
        <v>8</v>
      </c>
      <c r="R85" s="36" t="n">
        <v>3</v>
      </c>
      <c r="S85" s="36" t="n">
        <v>5</v>
      </c>
      <c r="T85" s="36" t="n">
        <v>1</v>
      </c>
      <c r="U85" s="36" t="n">
        <v>5</v>
      </c>
      <c r="V85" s="36" t="n">
        <v>9</v>
      </c>
      <c r="W85" s="36" t="n">
        <v>3</v>
      </c>
      <c r="X85" s="36" t="n">
        <v>5</v>
      </c>
      <c r="Y85" s="38">
        <f>SUM(K85:X85)</f>
        <v/>
      </c>
      <c r="Z85" s="39">
        <f>G85-Y85</f>
        <v/>
      </c>
      <c r="AA85" s="50">
        <f>INDEX($K$3:$X$3, MATCH(MAX(K85:X85), K85:X85, 0))</f>
        <v/>
      </c>
      <c r="AB85" s="51">
        <f>LARGE(K85:X85, 1) - LARGE(K85:X85, 2)</f>
        <v/>
      </c>
    </row>
    <row r="86" ht="19" customHeight="1">
      <c r="A86" s="18" t="n">
        <v>83</v>
      </c>
      <c r="B86" s="19" t="inlineStr">
        <is>
          <t>PRATHMIK VIDYALAYA ROOM NO. 1 SULTANPUR MALI</t>
        </is>
      </c>
      <c r="C86" s="31" t="n">
        <v>1250</v>
      </c>
      <c r="D86" s="31" t="n">
        <v>522</v>
      </c>
      <c r="E86" s="31" t="n">
        <v>494</v>
      </c>
      <c r="F86" s="31" t="n">
        <v>0</v>
      </c>
      <c r="G86" s="31" t="n">
        <v>1016</v>
      </c>
      <c r="H86" s="32">
        <f>G86/C86</f>
        <v/>
      </c>
      <c r="I86" s="31" t="n">
        <v>0</v>
      </c>
      <c r="J86" s="31" t="n">
        <v>0</v>
      </c>
      <c r="K86" s="31" t="n">
        <v>1</v>
      </c>
      <c r="L86" s="31" t="n">
        <v>445</v>
      </c>
      <c r="M86" s="31" t="n">
        <v>473</v>
      </c>
      <c r="N86" s="31" t="n">
        <v>59</v>
      </c>
      <c r="O86" s="31" t="n">
        <v>2</v>
      </c>
      <c r="P86" s="31" t="n">
        <v>1</v>
      </c>
      <c r="Q86" s="31" t="n">
        <v>1</v>
      </c>
      <c r="R86" s="31" t="n">
        <v>2</v>
      </c>
      <c r="S86" s="31" t="n">
        <v>1</v>
      </c>
      <c r="T86" s="31" t="n">
        <v>0</v>
      </c>
      <c r="U86" s="31" t="n">
        <v>5</v>
      </c>
      <c r="V86" s="31" t="n">
        <v>7</v>
      </c>
      <c r="W86" s="31" t="n">
        <v>10</v>
      </c>
      <c r="X86" s="31" t="n">
        <v>9</v>
      </c>
      <c r="Y86" s="20">
        <f>SUM(K86:X86)</f>
        <v/>
      </c>
      <c r="Z86" s="33">
        <f>G86-Y86</f>
        <v/>
      </c>
      <c r="AA86" s="48">
        <f>INDEX($K$3:$X$3, MATCH(MAX(K86:X86), K86:X86, 0))</f>
        <v/>
      </c>
      <c r="AB86" s="49">
        <f>LARGE(K86:X86, 1) - LARGE(K86:X86, 2)</f>
        <v/>
      </c>
    </row>
    <row r="87" ht="19" customHeight="1">
      <c r="A87" s="34" t="n">
        <v>84</v>
      </c>
      <c r="B87" s="35" t="inlineStr">
        <is>
          <t>PRATHMIK VIDYALAYA ROOM NO. 1 MEERPUR GANDEWAD</t>
        </is>
      </c>
      <c r="C87" s="36" t="n">
        <v>1240</v>
      </c>
      <c r="D87" s="36" t="n">
        <v>494</v>
      </c>
      <c r="E87" s="36" t="n">
        <v>454</v>
      </c>
      <c r="F87" s="36" t="n">
        <v>0</v>
      </c>
      <c r="G87" s="36" t="n">
        <v>948</v>
      </c>
      <c r="H87" s="37">
        <f>G87/C87</f>
        <v/>
      </c>
      <c r="I87" s="36" t="n">
        <v>185</v>
      </c>
      <c r="J87" s="36" t="n">
        <v>0</v>
      </c>
      <c r="K87" s="36" t="n">
        <v>0</v>
      </c>
      <c r="L87" s="36" t="n">
        <v>287</v>
      </c>
      <c r="M87" s="36" t="n">
        <v>308</v>
      </c>
      <c r="N87" s="36" t="n">
        <v>324</v>
      </c>
      <c r="O87" s="36" t="n">
        <v>9</v>
      </c>
      <c r="P87" s="36" t="n">
        <v>1</v>
      </c>
      <c r="Q87" s="36" t="n">
        <v>0</v>
      </c>
      <c r="R87" s="36" t="n">
        <v>1</v>
      </c>
      <c r="S87" s="36" t="n">
        <v>1</v>
      </c>
      <c r="T87" s="36" t="n">
        <v>1</v>
      </c>
      <c r="U87" s="36" t="n">
        <v>6</v>
      </c>
      <c r="V87" s="36" t="n">
        <v>4</v>
      </c>
      <c r="W87" s="36" t="n">
        <v>4</v>
      </c>
      <c r="X87" s="36" t="n">
        <v>2</v>
      </c>
      <c r="Y87" s="38">
        <f>SUM(K87:X87)</f>
        <v/>
      </c>
      <c r="Z87" s="39">
        <f>G87-Y87</f>
        <v/>
      </c>
      <c r="AA87" s="50">
        <f>INDEX($K$3:$X$3, MATCH(MAX(K87:X87), K87:X87, 0))</f>
        <v/>
      </c>
      <c r="AB87" s="51">
        <f>LARGE(K87:X87, 1) - LARGE(K87:X87, 2)</f>
        <v/>
      </c>
    </row>
    <row r="88" ht="19" customHeight="1">
      <c r="A88" s="18" t="n">
        <v>85</v>
      </c>
      <c r="B88" s="19" t="inlineStr">
        <is>
          <t>PRATHMIK VIDYALAYA ROOM NO. 1 ISMAILPUR</t>
        </is>
      </c>
      <c r="C88" s="31" t="n">
        <v>1515</v>
      </c>
      <c r="D88" s="31" t="n">
        <v>529</v>
      </c>
      <c r="E88" s="31" t="n">
        <v>511</v>
      </c>
      <c r="F88" s="31" t="n">
        <v>0</v>
      </c>
      <c r="G88" s="31" t="n">
        <v>1040</v>
      </c>
      <c r="H88" s="32">
        <f>G88/C88</f>
        <v/>
      </c>
      <c r="I88" s="31" t="n">
        <v>40</v>
      </c>
      <c r="J88" s="31" t="n">
        <v>0</v>
      </c>
      <c r="K88" s="31" t="n">
        <v>9</v>
      </c>
      <c r="L88" s="31" t="n">
        <v>327</v>
      </c>
      <c r="M88" s="31" t="n">
        <v>412</v>
      </c>
      <c r="N88" s="31" t="n">
        <v>254</v>
      </c>
      <c r="O88" s="31" t="n">
        <v>3</v>
      </c>
      <c r="P88" s="31" t="n">
        <v>5</v>
      </c>
      <c r="Q88" s="31" t="n">
        <v>1</v>
      </c>
      <c r="R88" s="31" t="n">
        <v>5</v>
      </c>
      <c r="S88" s="31" t="n">
        <v>1</v>
      </c>
      <c r="T88" s="31" t="n">
        <v>2</v>
      </c>
      <c r="U88" s="31" t="n">
        <v>2</v>
      </c>
      <c r="V88" s="31" t="n">
        <v>5</v>
      </c>
      <c r="W88" s="31" t="n">
        <v>11</v>
      </c>
      <c r="X88" s="31" t="n">
        <v>3</v>
      </c>
      <c r="Y88" s="20">
        <f>SUM(K88:X88)</f>
        <v/>
      </c>
      <c r="Z88" s="33">
        <f>G88-Y88</f>
        <v/>
      </c>
      <c r="AA88" s="48">
        <f>INDEX($K$3:$X$3, MATCH(MAX(K88:X88), K88:X88, 0))</f>
        <v/>
      </c>
      <c r="AB88" s="49">
        <f>LARGE(K88:X88, 1) - LARGE(K88:X88, 2)</f>
        <v/>
      </c>
    </row>
    <row r="89" ht="19" customHeight="1">
      <c r="A89" s="34" t="n">
        <v>86</v>
      </c>
      <c r="B89" s="35" t="inlineStr">
        <is>
          <t>PRATHMIK VIDYALAYA ROOM NO. 1 SHAABUDDINPUR</t>
        </is>
      </c>
      <c r="C89" s="36" t="n">
        <v>898</v>
      </c>
      <c r="D89" s="36" t="n">
        <v>339</v>
      </c>
      <c r="E89" s="36" t="n">
        <v>323</v>
      </c>
      <c r="F89" s="36" t="n">
        <v>0</v>
      </c>
      <c r="G89" s="36" t="n">
        <v>662</v>
      </c>
      <c r="H89" s="37">
        <f>G89/C89</f>
        <v/>
      </c>
      <c r="I89" s="36" t="n">
        <v>7</v>
      </c>
      <c r="J89" s="36" t="n">
        <v>0</v>
      </c>
      <c r="K89" s="36" t="n">
        <v>4</v>
      </c>
      <c r="L89" s="36" t="n">
        <v>98</v>
      </c>
      <c r="M89" s="36" t="n">
        <v>493</v>
      </c>
      <c r="N89" s="36" t="n">
        <v>34</v>
      </c>
      <c r="O89" s="36" t="n">
        <v>3</v>
      </c>
      <c r="P89" s="36" t="n">
        <v>1</v>
      </c>
      <c r="Q89" s="36" t="n">
        <v>1</v>
      </c>
      <c r="R89" s="36" t="n">
        <v>15</v>
      </c>
      <c r="S89" s="36" t="n">
        <v>0</v>
      </c>
      <c r="T89" s="36" t="n">
        <v>2</v>
      </c>
      <c r="U89" s="36" t="n">
        <v>0</v>
      </c>
      <c r="V89" s="36" t="n">
        <v>2</v>
      </c>
      <c r="W89" s="36" t="n">
        <v>2</v>
      </c>
      <c r="X89" s="36" t="n">
        <v>7</v>
      </c>
      <c r="Y89" s="38">
        <f>SUM(K89:X89)</f>
        <v/>
      </c>
      <c r="Z89" s="39">
        <f>G89-Y89</f>
        <v/>
      </c>
      <c r="AA89" s="50">
        <f>INDEX($K$3:$X$3, MATCH(MAX(K89:X89), K89:X89, 0))</f>
        <v/>
      </c>
      <c r="AB89" s="51">
        <f>LARGE(K89:X89, 1) - LARGE(K89:X89, 2)</f>
        <v/>
      </c>
    </row>
    <row r="90" ht="19" customHeight="1">
      <c r="A90" s="18" t="n">
        <v>87</v>
      </c>
      <c r="B90" s="19" t="inlineStr">
        <is>
          <t>JANTA INTER COLLEGE ROOM NO. 11 BEHAT</t>
        </is>
      </c>
      <c r="C90" s="31" t="n">
        <v>1207</v>
      </c>
      <c r="D90" s="31" t="n">
        <v>418</v>
      </c>
      <c r="E90" s="31" t="n">
        <v>390</v>
      </c>
      <c r="F90" s="31" t="n">
        <v>0</v>
      </c>
      <c r="G90" s="31" t="n">
        <v>808</v>
      </c>
      <c r="H90" s="32">
        <f>G90/C90</f>
        <v/>
      </c>
      <c r="I90" s="31" t="n">
        <v>15</v>
      </c>
      <c r="J90" s="31" t="n">
        <v>0</v>
      </c>
      <c r="K90" s="31" t="n">
        <v>1</v>
      </c>
      <c r="L90" s="31" t="n">
        <v>193</v>
      </c>
      <c r="M90" s="31" t="n">
        <v>333</v>
      </c>
      <c r="N90" s="31" t="n">
        <v>264</v>
      </c>
      <c r="O90" s="31" t="n">
        <v>2</v>
      </c>
      <c r="P90" s="31" t="n">
        <v>1</v>
      </c>
      <c r="Q90" s="31" t="n">
        <v>0</v>
      </c>
      <c r="R90" s="31" t="n">
        <v>5</v>
      </c>
      <c r="S90" s="31" t="n">
        <v>1</v>
      </c>
      <c r="T90" s="31" t="n">
        <v>0</v>
      </c>
      <c r="U90" s="31" t="n">
        <v>1</v>
      </c>
      <c r="V90" s="31" t="n">
        <v>2</v>
      </c>
      <c r="W90" s="31" t="n">
        <v>1</v>
      </c>
      <c r="X90" s="31" t="n">
        <v>4</v>
      </c>
      <c r="Y90" s="20">
        <f>SUM(K90:X90)</f>
        <v/>
      </c>
      <c r="Z90" s="33">
        <f>G90-Y90</f>
        <v/>
      </c>
      <c r="AA90" s="48">
        <f>INDEX($K$3:$X$3, MATCH(MAX(K90:X90), K90:X90, 0))</f>
        <v/>
      </c>
      <c r="AB90" s="49">
        <f>LARGE(K90:X90, 1) - LARGE(K90:X90, 2)</f>
        <v/>
      </c>
    </row>
    <row r="91" ht="19" customHeight="1">
      <c r="A91" s="34" t="n">
        <v>88</v>
      </c>
      <c r="B91" s="35" t="inlineStr">
        <is>
          <t>JANTA INTER COLLEGE ROOM NO. 12 BEHAT</t>
        </is>
      </c>
      <c r="C91" s="36" t="n">
        <v>780</v>
      </c>
      <c r="D91" s="36" t="n">
        <v>280</v>
      </c>
      <c r="E91" s="36" t="n">
        <v>280</v>
      </c>
      <c r="F91" s="36" t="n">
        <v>0</v>
      </c>
      <c r="G91" s="36" t="n">
        <v>560</v>
      </c>
      <c r="H91" s="37">
        <f>G91/C91</f>
        <v/>
      </c>
      <c r="I91" s="36" t="n">
        <v>200</v>
      </c>
      <c r="J91" s="36" t="n">
        <v>0</v>
      </c>
      <c r="K91" s="36" t="n">
        <v>0</v>
      </c>
      <c r="L91" s="36" t="n">
        <v>51</v>
      </c>
      <c r="M91" s="36" t="n">
        <v>283</v>
      </c>
      <c r="N91" s="36" t="n">
        <v>205</v>
      </c>
      <c r="O91" s="36" t="n">
        <v>2</v>
      </c>
      <c r="P91" s="36" t="n">
        <v>0</v>
      </c>
      <c r="Q91" s="36" t="n">
        <v>0</v>
      </c>
      <c r="R91" s="36" t="n">
        <v>9</v>
      </c>
      <c r="S91" s="36" t="n">
        <v>0</v>
      </c>
      <c r="T91" s="36" t="n">
        <v>1</v>
      </c>
      <c r="U91" s="36" t="n">
        <v>1</v>
      </c>
      <c r="V91" s="36" t="n">
        <v>1</v>
      </c>
      <c r="W91" s="36" t="n">
        <v>4</v>
      </c>
      <c r="X91" s="36" t="n">
        <v>3</v>
      </c>
      <c r="Y91" s="38">
        <f>SUM(K91:X91)</f>
        <v/>
      </c>
      <c r="Z91" s="39">
        <f>G91-Y91</f>
        <v/>
      </c>
      <c r="AA91" s="50">
        <f>INDEX($K$3:$X$3, MATCH(MAX(K91:X91), K91:X91, 0))</f>
        <v/>
      </c>
      <c r="AB91" s="51">
        <f>LARGE(K91:X91, 1) - LARGE(K91:X91, 2)</f>
        <v/>
      </c>
    </row>
    <row r="92" ht="19" customHeight="1">
      <c r="A92" s="18" t="n">
        <v>89</v>
      </c>
      <c r="B92" s="19" t="inlineStr">
        <is>
          <t>B. R. C. OFFICE ROOM NO. 1 BEHAT</t>
        </is>
      </c>
      <c r="C92" s="31" t="n">
        <v>1145</v>
      </c>
      <c r="D92" s="31" t="n">
        <v>448</v>
      </c>
      <c r="E92" s="31" t="n">
        <v>358</v>
      </c>
      <c r="F92" s="31" t="n">
        <v>0</v>
      </c>
      <c r="G92" s="31" t="n">
        <v>806</v>
      </c>
      <c r="H92" s="32">
        <f>G92/C92</f>
        <v/>
      </c>
      <c r="I92" s="31" t="n">
        <v>0</v>
      </c>
      <c r="J92" s="31" t="n">
        <v>0</v>
      </c>
      <c r="K92" s="31" t="n">
        <v>0</v>
      </c>
      <c r="L92" s="31" t="n">
        <v>175</v>
      </c>
      <c r="M92" s="31" t="n">
        <v>610</v>
      </c>
      <c r="N92" s="31" t="n">
        <v>6</v>
      </c>
      <c r="O92" s="31" t="n">
        <v>4</v>
      </c>
      <c r="P92" s="31" t="n">
        <v>0</v>
      </c>
      <c r="Q92" s="31" t="n">
        <v>1</v>
      </c>
      <c r="R92" s="31" t="n">
        <v>2</v>
      </c>
      <c r="S92" s="31" t="n">
        <v>2</v>
      </c>
      <c r="T92" s="31" t="n">
        <v>1</v>
      </c>
      <c r="U92" s="31" t="n">
        <v>0</v>
      </c>
      <c r="V92" s="31" t="n">
        <v>2</v>
      </c>
      <c r="W92" s="31" t="n">
        <v>1</v>
      </c>
      <c r="X92" s="31" t="n">
        <v>2</v>
      </c>
      <c r="Y92" s="20">
        <f>SUM(K92:X92)</f>
        <v/>
      </c>
      <c r="Z92" s="33">
        <f>G92-Y92</f>
        <v/>
      </c>
      <c r="AA92" s="48">
        <f>INDEX($K$3:$X$3, MATCH(MAX(K92:X92), K92:X92, 0))</f>
        <v/>
      </c>
      <c r="AB92" s="49">
        <f>LARGE(K92:X92, 1) - LARGE(K92:X92, 2)</f>
        <v/>
      </c>
    </row>
    <row r="93" ht="19" customHeight="1">
      <c r="A93" s="34" t="n">
        <v>90</v>
      </c>
      <c r="B93" s="35" t="inlineStr">
        <is>
          <t>B. R. C. OFFICE ROOM NO. 2 BEHAT</t>
        </is>
      </c>
      <c r="C93" s="36" t="n">
        <v>692</v>
      </c>
      <c r="D93" s="36" t="n">
        <v>287</v>
      </c>
      <c r="E93" s="36" t="n">
        <v>244</v>
      </c>
      <c r="F93" s="36" t="n">
        <v>0</v>
      </c>
      <c r="G93" s="36" t="n">
        <v>531</v>
      </c>
      <c r="H93" s="37">
        <f>G93/C93</f>
        <v/>
      </c>
      <c r="I93" s="36" t="n">
        <v>0</v>
      </c>
      <c r="J93" s="36" t="n">
        <v>0</v>
      </c>
      <c r="K93" s="36" t="n">
        <v>1</v>
      </c>
      <c r="L93" s="36" t="n">
        <v>104</v>
      </c>
      <c r="M93" s="36" t="n">
        <v>404</v>
      </c>
      <c r="N93" s="36" t="n">
        <v>9</v>
      </c>
      <c r="O93" s="36" t="n">
        <v>2</v>
      </c>
      <c r="P93" s="36" t="n">
        <v>1</v>
      </c>
      <c r="Q93" s="36" t="n">
        <v>0</v>
      </c>
      <c r="R93" s="36" t="n">
        <v>2</v>
      </c>
      <c r="S93" s="36" t="n">
        <v>0</v>
      </c>
      <c r="T93" s="36" t="n">
        <v>1</v>
      </c>
      <c r="U93" s="36" t="n">
        <v>1</v>
      </c>
      <c r="V93" s="36" t="n">
        <v>2</v>
      </c>
      <c r="W93" s="36" t="n">
        <v>1</v>
      </c>
      <c r="X93" s="36" t="n">
        <v>3</v>
      </c>
      <c r="Y93" s="38">
        <f>SUM(K93:X93)</f>
        <v/>
      </c>
      <c r="Z93" s="39">
        <f>G93-Y93</f>
        <v/>
      </c>
      <c r="AA93" s="50">
        <f>INDEX($K$3:$X$3, MATCH(MAX(K93:X93), K93:X93, 0))</f>
        <v/>
      </c>
      <c r="AB93" s="51">
        <f>LARGE(K93:X93, 1) - LARGE(K93:X93, 2)</f>
        <v/>
      </c>
    </row>
    <row r="94" ht="19" customHeight="1">
      <c r="A94" s="18" t="n">
        <v>91</v>
      </c>
      <c r="B94" s="19" t="inlineStr">
        <is>
          <t>PURVA MADHYMIK VIDYALAYA ROOM NO. 3 BEHAT</t>
        </is>
      </c>
      <c r="C94" s="31" t="n">
        <v>1329</v>
      </c>
      <c r="D94" s="31" t="n">
        <v>511</v>
      </c>
      <c r="E94" s="31" t="n">
        <v>456</v>
      </c>
      <c r="F94" s="31" t="n">
        <v>0</v>
      </c>
      <c r="G94" s="31" t="n">
        <v>967</v>
      </c>
      <c r="H94" s="32">
        <f>G94/C94</f>
        <v/>
      </c>
      <c r="I94" s="31" t="n">
        <v>270</v>
      </c>
      <c r="J94" s="31" t="n">
        <v>0</v>
      </c>
      <c r="K94" s="31" t="n">
        <v>1</v>
      </c>
      <c r="L94" s="31" t="n">
        <v>198</v>
      </c>
      <c r="M94" s="31" t="n">
        <v>739</v>
      </c>
      <c r="N94" s="31" t="n">
        <v>12</v>
      </c>
      <c r="O94" s="31" t="n">
        <v>3</v>
      </c>
      <c r="P94" s="31" t="n">
        <v>1</v>
      </c>
      <c r="Q94" s="31" t="n">
        <v>2</v>
      </c>
      <c r="R94" s="31" t="n">
        <v>1</v>
      </c>
      <c r="S94" s="31" t="n">
        <v>0</v>
      </c>
      <c r="T94" s="31" t="n">
        <v>1</v>
      </c>
      <c r="U94" s="31" t="n">
        <v>2</v>
      </c>
      <c r="V94" s="31" t="n">
        <v>3</v>
      </c>
      <c r="W94" s="31" t="n">
        <v>1</v>
      </c>
      <c r="X94" s="31" t="n">
        <v>3</v>
      </c>
      <c r="Y94" s="20">
        <f>SUM(K94:X94)</f>
        <v/>
      </c>
      <c r="Z94" s="33">
        <f>G94-Y94</f>
        <v/>
      </c>
      <c r="AA94" s="48">
        <f>INDEX($K$3:$X$3, MATCH(MAX(K94:X94), K94:X94, 0))</f>
        <v/>
      </c>
      <c r="AB94" s="49">
        <f>LARGE(K94:X94, 1) - LARGE(K94:X94, 2)</f>
        <v/>
      </c>
    </row>
    <row r="95" ht="19" customHeight="1">
      <c r="A95" s="34" t="n">
        <v>92</v>
      </c>
      <c r="B95" s="35" t="inlineStr">
        <is>
          <t>PURVA MADHYMIK VIDYALAYA ROOM NO. 4 BEHAT</t>
        </is>
      </c>
      <c r="C95" s="36" t="n">
        <v>772</v>
      </c>
      <c r="D95" s="36" t="n">
        <v>270</v>
      </c>
      <c r="E95" s="36" t="n">
        <v>250</v>
      </c>
      <c r="F95" s="36" t="n">
        <v>0</v>
      </c>
      <c r="G95" s="36" t="n">
        <v>520</v>
      </c>
      <c r="H95" s="37">
        <f>G95/C95</f>
        <v/>
      </c>
      <c r="I95" s="36" t="n">
        <v>0</v>
      </c>
      <c r="J95" s="36" t="n">
        <v>0</v>
      </c>
      <c r="K95" s="36" t="n">
        <v>1</v>
      </c>
      <c r="L95" s="36" t="n">
        <v>94</v>
      </c>
      <c r="M95" s="36" t="n">
        <v>398</v>
      </c>
      <c r="N95" s="36" t="n">
        <v>8</v>
      </c>
      <c r="O95" s="36" t="n">
        <v>2</v>
      </c>
      <c r="P95" s="36" t="n">
        <v>1</v>
      </c>
      <c r="Q95" s="36" t="n">
        <v>0</v>
      </c>
      <c r="R95" s="36" t="n">
        <v>2</v>
      </c>
      <c r="S95" s="36" t="n">
        <v>1</v>
      </c>
      <c r="T95" s="36" t="n">
        <v>0</v>
      </c>
      <c r="U95" s="36" t="n">
        <v>4</v>
      </c>
      <c r="V95" s="36" t="n">
        <v>2</v>
      </c>
      <c r="W95" s="36" t="n">
        <v>1</v>
      </c>
      <c r="X95" s="36" t="n">
        <v>6</v>
      </c>
      <c r="Y95" s="38">
        <f>SUM(K95:X95)</f>
        <v/>
      </c>
      <c r="Z95" s="39">
        <f>G95-Y95</f>
        <v/>
      </c>
      <c r="AA95" s="50">
        <f>INDEX($K$3:$X$3, MATCH(MAX(K95:X95), K95:X95, 0))</f>
        <v/>
      </c>
      <c r="AB95" s="51">
        <f>LARGE(K95:X95, 1) - LARGE(K95:X95, 2)</f>
        <v/>
      </c>
    </row>
    <row r="96" ht="19" customHeight="1">
      <c r="A96" s="18" t="n">
        <v>93</v>
      </c>
      <c r="B96" s="19" t="inlineStr">
        <is>
          <t>PURVA MADHYMIK VIDYALAYA ROOM NO. 5 BEHAT</t>
        </is>
      </c>
      <c r="C96" s="31" t="n">
        <v>1088</v>
      </c>
      <c r="D96" s="31" t="n">
        <v>411</v>
      </c>
      <c r="E96" s="31" t="n">
        <v>341</v>
      </c>
      <c r="F96" s="31" t="n">
        <v>0</v>
      </c>
      <c r="G96" s="31" t="n">
        <v>752</v>
      </c>
      <c r="H96" s="32">
        <f>G96/C96</f>
        <v/>
      </c>
      <c r="I96" s="31" t="n">
        <v>242</v>
      </c>
      <c r="J96" s="31" t="n">
        <v>0</v>
      </c>
      <c r="K96" s="31" t="n">
        <v>2</v>
      </c>
      <c r="L96" s="31" t="n">
        <v>147</v>
      </c>
      <c r="M96" s="31" t="n">
        <v>557</v>
      </c>
      <c r="N96" s="31" t="n">
        <v>14</v>
      </c>
      <c r="O96" s="31" t="n">
        <v>1</v>
      </c>
      <c r="P96" s="31" t="n">
        <v>5</v>
      </c>
      <c r="Q96" s="31" t="n">
        <v>2</v>
      </c>
      <c r="R96" s="31" t="n">
        <v>0</v>
      </c>
      <c r="S96" s="31" t="n">
        <v>0</v>
      </c>
      <c r="T96" s="31" t="n">
        <v>0</v>
      </c>
      <c r="U96" s="31" t="n">
        <v>1</v>
      </c>
      <c r="V96" s="31" t="n">
        <v>2</v>
      </c>
      <c r="W96" s="31" t="n">
        <v>5</v>
      </c>
      <c r="X96" s="31" t="n">
        <v>16</v>
      </c>
      <c r="Y96" s="20">
        <f>SUM(K96:X96)</f>
        <v/>
      </c>
      <c r="Z96" s="33">
        <f>G96-Y96</f>
        <v/>
      </c>
      <c r="AA96" s="48">
        <f>INDEX($K$3:$X$3, MATCH(MAX(K96:X96), K96:X96, 0))</f>
        <v/>
      </c>
      <c r="AB96" s="49">
        <f>LARGE(K96:X96, 1) - LARGE(K96:X96, 2)</f>
        <v/>
      </c>
    </row>
    <row r="97" ht="19" customHeight="1">
      <c r="A97" s="34" t="n">
        <v>94</v>
      </c>
      <c r="B97" s="35" t="inlineStr">
        <is>
          <t>PURVA MADHYMIK VIDYALAYA ROOM NO. 2 BEHAT</t>
        </is>
      </c>
      <c r="C97" s="36" t="n">
        <v>1033</v>
      </c>
      <c r="D97" s="36" t="n">
        <v>399</v>
      </c>
      <c r="E97" s="36" t="n">
        <v>349</v>
      </c>
      <c r="F97" s="36" t="n">
        <v>0</v>
      </c>
      <c r="G97" s="36" t="n">
        <v>748</v>
      </c>
      <c r="H97" s="37">
        <f>G97/C97</f>
        <v/>
      </c>
      <c r="I97" s="36" t="n">
        <v>14</v>
      </c>
      <c r="J97" s="36" t="n">
        <v>0</v>
      </c>
      <c r="K97" s="36" t="n">
        <v>1</v>
      </c>
      <c r="L97" s="36" t="n">
        <v>93</v>
      </c>
      <c r="M97" s="36" t="n">
        <v>621</v>
      </c>
      <c r="N97" s="36" t="n">
        <v>13</v>
      </c>
      <c r="O97" s="36" t="n">
        <v>0</v>
      </c>
      <c r="P97" s="36" t="n">
        <v>2</v>
      </c>
      <c r="Q97" s="36" t="n">
        <v>1</v>
      </c>
      <c r="R97" s="36" t="n">
        <v>1</v>
      </c>
      <c r="S97" s="36" t="n">
        <v>0</v>
      </c>
      <c r="T97" s="36" t="n">
        <v>0</v>
      </c>
      <c r="U97" s="36" t="n">
        <v>0</v>
      </c>
      <c r="V97" s="36" t="n">
        <v>6</v>
      </c>
      <c r="W97" s="36" t="n">
        <v>2</v>
      </c>
      <c r="X97" s="36" t="n">
        <v>8</v>
      </c>
      <c r="Y97" s="38">
        <f>SUM(K97:X97)</f>
        <v/>
      </c>
      <c r="Z97" s="39">
        <f>G97-Y97</f>
        <v/>
      </c>
      <c r="AA97" s="50">
        <f>INDEX($K$3:$X$3, MATCH(MAX(K97:X97), K97:X97, 0))</f>
        <v/>
      </c>
      <c r="AB97" s="51">
        <f>LARGE(K97:X97, 1) - LARGE(K97:X97, 2)</f>
        <v/>
      </c>
    </row>
    <row r="98" ht="19" customHeight="1">
      <c r="A98" s="18" t="n">
        <v>95</v>
      </c>
      <c r="B98" s="19" t="inlineStr">
        <is>
          <t>JANTA INTER COLLEGE ROOM NO. 21 BEHAT</t>
        </is>
      </c>
      <c r="C98" s="31" t="n">
        <v>1229</v>
      </c>
      <c r="D98" s="31" t="n">
        <v>461</v>
      </c>
      <c r="E98" s="31" t="n">
        <v>396</v>
      </c>
      <c r="F98" s="31" t="n">
        <v>0</v>
      </c>
      <c r="G98" s="31" t="n">
        <v>857</v>
      </c>
      <c r="H98" s="32">
        <f>G98/C98</f>
        <v/>
      </c>
      <c r="I98" s="31" t="n">
        <v>0</v>
      </c>
      <c r="J98" s="31" t="n">
        <v>0</v>
      </c>
      <c r="K98" s="31" t="n">
        <v>1</v>
      </c>
      <c r="L98" s="31" t="n">
        <v>43</v>
      </c>
      <c r="M98" s="31" t="n">
        <v>265</v>
      </c>
      <c r="N98" s="31" t="n">
        <v>513</v>
      </c>
      <c r="O98" s="31" t="n">
        <v>9</v>
      </c>
      <c r="P98" s="31" t="n">
        <v>0</v>
      </c>
      <c r="Q98" s="31" t="n">
        <v>1</v>
      </c>
      <c r="R98" s="31" t="n">
        <v>15</v>
      </c>
      <c r="S98" s="31" t="n">
        <v>1</v>
      </c>
      <c r="T98" s="31" t="n">
        <v>1</v>
      </c>
      <c r="U98" s="31" t="n">
        <v>5</v>
      </c>
      <c r="V98" s="31" t="n">
        <v>1</v>
      </c>
      <c r="W98" s="31" t="n">
        <v>1</v>
      </c>
      <c r="X98" s="31" t="n">
        <v>1</v>
      </c>
      <c r="Y98" s="20">
        <f>SUM(K98:X98)</f>
        <v/>
      </c>
      <c r="Z98" s="33">
        <f>G98-Y98</f>
        <v/>
      </c>
      <c r="AA98" s="48">
        <f>INDEX($K$3:$X$3, MATCH(MAX(K98:X98), K98:X98, 0))</f>
        <v/>
      </c>
      <c r="AB98" s="49">
        <f>LARGE(K98:X98, 1) - LARGE(K98:X98, 2)</f>
        <v/>
      </c>
    </row>
    <row r="99" ht="19" customHeight="1">
      <c r="A99" s="34" t="n">
        <v>96</v>
      </c>
      <c r="B99" s="35" t="inlineStr">
        <is>
          <t>JANTA INTER COLLEGE ROOM NO. 20 BEHAT</t>
        </is>
      </c>
      <c r="C99" s="36" t="n">
        <v>1075</v>
      </c>
      <c r="D99" s="36" t="n">
        <v>442</v>
      </c>
      <c r="E99" s="36" t="n">
        <v>342</v>
      </c>
      <c r="F99" s="36" t="n">
        <v>0</v>
      </c>
      <c r="G99" s="36" t="n">
        <v>784</v>
      </c>
      <c r="H99" s="37">
        <f>G99/C99</f>
        <v/>
      </c>
      <c r="I99" s="36" t="n">
        <v>0</v>
      </c>
      <c r="J99" s="36" t="n">
        <v>0</v>
      </c>
      <c r="K99" s="36" t="n">
        <v>1</v>
      </c>
      <c r="L99" s="36" t="n">
        <v>135</v>
      </c>
      <c r="M99" s="36" t="n">
        <v>474</v>
      </c>
      <c r="N99" s="36" t="n">
        <v>161</v>
      </c>
      <c r="O99" s="36" t="n">
        <v>5</v>
      </c>
      <c r="P99" s="36" t="n">
        <v>0</v>
      </c>
      <c r="Q99" s="36" t="n">
        <v>0</v>
      </c>
      <c r="R99" s="36" t="n">
        <v>4</v>
      </c>
      <c r="S99" s="36" t="n">
        <v>1</v>
      </c>
      <c r="T99" s="36" t="n">
        <v>0</v>
      </c>
      <c r="U99" s="36" t="n">
        <v>0</v>
      </c>
      <c r="V99" s="36" t="n">
        <v>0</v>
      </c>
      <c r="W99" s="36" t="n">
        <v>2</v>
      </c>
      <c r="X99" s="36" t="n">
        <v>1</v>
      </c>
      <c r="Y99" s="38">
        <f>SUM(K99:X99)</f>
        <v/>
      </c>
      <c r="Z99" s="39">
        <f>G99-Y99</f>
        <v/>
      </c>
      <c r="AA99" s="50">
        <f>INDEX($K$3:$X$3, MATCH(MAX(K99:X99), K99:X99, 0))</f>
        <v/>
      </c>
      <c r="AB99" s="51">
        <f>LARGE(K99:X99, 1) - LARGE(K99:X99, 2)</f>
        <v/>
      </c>
    </row>
    <row r="100" ht="19" customHeight="1">
      <c r="A100" s="18" t="n">
        <v>97</v>
      </c>
      <c r="B100" s="19" t="inlineStr">
        <is>
          <t>JANTA INTER COLLEGE ROOM NO. 19 BEHAT</t>
        </is>
      </c>
      <c r="C100" s="31" t="n">
        <v>895</v>
      </c>
      <c r="D100" s="31" t="n">
        <v>389</v>
      </c>
      <c r="E100" s="31" t="n">
        <v>349</v>
      </c>
      <c r="F100" s="31" t="n">
        <v>0</v>
      </c>
      <c r="G100" s="31" t="n">
        <v>738</v>
      </c>
      <c r="H100" s="32">
        <f>G100/C100</f>
        <v/>
      </c>
      <c r="I100" s="31" t="n">
        <v>0</v>
      </c>
      <c r="J100" s="31" t="n">
        <v>0</v>
      </c>
      <c r="K100" s="31" t="n">
        <v>4</v>
      </c>
      <c r="L100" s="31" t="n">
        <v>495</v>
      </c>
      <c r="M100" s="31" t="n">
        <v>62</v>
      </c>
      <c r="N100" s="31" t="n">
        <v>150</v>
      </c>
      <c r="O100" s="31" t="n">
        <v>4</v>
      </c>
      <c r="P100" s="31" t="n">
        <v>4</v>
      </c>
      <c r="Q100" s="31" t="n">
        <v>2</v>
      </c>
      <c r="R100" s="31" t="n">
        <v>0</v>
      </c>
      <c r="S100" s="31" t="n">
        <v>2</v>
      </c>
      <c r="T100" s="31" t="n">
        <v>1</v>
      </c>
      <c r="U100" s="31" t="n">
        <v>5</v>
      </c>
      <c r="V100" s="31" t="n">
        <v>3</v>
      </c>
      <c r="W100" s="31" t="n">
        <v>2</v>
      </c>
      <c r="X100" s="31" t="n">
        <v>4</v>
      </c>
      <c r="Y100" s="20">
        <f>SUM(K100:X100)</f>
        <v/>
      </c>
      <c r="Z100" s="33">
        <f>G100-Y100</f>
        <v/>
      </c>
      <c r="AA100" s="48">
        <f>INDEX($K$3:$X$3, MATCH(MAX(K100:X100), K100:X100, 0))</f>
        <v/>
      </c>
      <c r="AB100" s="49">
        <f>LARGE(K100:X100, 1) - LARGE(K100:X100, 2)</f>
        <v/>
      </c>
    </row>
    <row r="101" ht="19" customHeight="1">
      <c r="A101" s="34" t="n">
        <v>98</v>
      </c>
      <c r="B101" s="35" t="inlineStr">
        <is>
          <t>JANTA INTER COLLEGE BEHAT'S HALL EAST PART</t>
        </is>
      </c>
      <c r="C101" s="36" t="n">
        <v>708</v>
      </c>
      <c r="D101" s="36" t="n">
        <v>266</v>
      </c>
      <c r="E101" s="36" t="n">
        <v>250</v>
      </c>
      <c r="F101" s="36" t="n">
        <v>0</v>
      </c>
      <c r="G101" s="36" t="n">
        <v>516</v>
      </c>
      <c r="H101" s="37">
        <f>G101/C101</f>
        <v/>
      </c>
      <c r="I101" s="36" t="n">
        <v>5</v>
      </c>
      <c r="J101" s="36" t="n">
        <v>0</v>
      </c>
      <c r="K101" s="36" t="n">
        <v>0</v>
      </c>
      <c r="L101" s="36" t="n">
        <v>105</v>
      </c>
      <c r="M101" s="36" t="n">
        <v>399</v>
      </c>
      <c r="N101" s="36" t="n">
        <v>9</v>
      </c>
      <c r="O101" s="36" t="n">
        <v>0</v>
      </c>
      <c r="P101" s="36" t="n">
        <v>1</v>
      </c>
      <c r="Q101" s="36" t="n">
        <v>0</v>
      </c>
      <c r="R101" s="36" t="n">
        <v>1</v>
      </c>
      <c r="S101" s="36" t="n">
        <v>0</v>
      </c>
      <c r="T101" s="36" t="n">
        <v>0</v>
      </c>
      <c r="U101" s="36" t="n">
        <v>0</v>
      </c>
      <c r="V101" s="36" t="n">
        <v>1</v>
      </c>
      <c r="W101" s="36" t="n">
        <v>0</v>
      </c>
      <c r="X101" s="36" t="n">
        <v>0</v>
      </c>
      <c r="Y101" s="38">
        <f>SUM(K101:X101)</f>
        <v/>
      </c>
      <c r="Z101" s="39">
        <f>G101-Y101</f>
        <v/>
      </c>
      <c r="AA101" s="50">
        <f>INDEX($K$3:$X$3, MATCH(MAX(K101:X101), K101:X101, 0))</f>
        <v/>
      </c>
      <c r="AB101" s="51">
        <f>LARGE(K101:X101, 1) - LARGE(K101:X101, 2)</f>
        <v/>
      </c>
    </row>
    <row r="102" ht="19" customHeight="1">
      <c r="A102" s="18" t="n">
        <v>99</v>
      </c>
      <c r="B102" s="19" t="inlineStr">
        <is>
          <t>JANTA INTER COLLEGE ROOM NO. 8 BEHAT</t>
        </is>
      </c>
      <c r="C102" s="31" t="n">
        <v>828</v>
      </c>
      <c r="D102" s="31" t="n">
        <v>364</v>
      </c>
      <c r="E102" s="31" t="n">
        <v>287</v>
      </c>
      <c r="F102" s="31" t="n">
        <v>0</v>
      </c>
      <c r="G102" s="31" t="n">
        <v>651</v>
      </c>
      <c r="H102" s="32">
        <f>G102/C102</f>
        <v/>
      </c>
      <c r="I102" s="31" t="n">
        <v>0</v>
      </c>
      <c r="J102" s="31" t="n">
        <v>0</v>
      </c>
      <c r="K102" s="31" t="n">
        <v>4</v>
      </c>
      <c r="L102" s="31" t="n">
        <v>109</v>
      </c>
      <c r="M102" s="31" t="n">
        <v>504</v>
      </c>
      <c r="N102" s="31" t="n">
        <v>7</v>
      </c>
      <c r="O102" s="31" t="n">
        <v>3</v>
      </c>
      <c r="P102" s="31" t="n">
        <v>0</v>
      </c>
      <c r="Q102" s="31" t="n">
        <v>0</v>
      </c>
      <c r="R102" s="31" t="n">
        <v>14</v>
      </c>
      <c r="S102" s="31" t="n">
        <v>0</v>
      </c>
      <c r="T102" s="31" t="n">
        <v>0</v>
      </c>
      <c r="U102" s="31" t="n">
        <v>0</v>
      </c>
      <c r="V102" s="31" t="n">
        <v>3</v>
      </c>
      <c r="W102" s="31" t="n">
        <v>2</v>
      </c>
      <c r="X102" s="31" t="n">
        <v>5</v>
      </c>
      <c r="Y102" s="20">
        <f>SUM(K102:X102)</f>
        <v/>
      </c>
      <c r="Z102" s="33">
        <f>G102-Y102</f>
        <v/>
      </c>
      <c r="AA102" s="48">
        <f>INDEX($K$3:$X$3, MATCH(MAX(K102:X102), K102:X102, 0))</f>
        <v/>
      </c>
      <c r="AB102" s="49">
        <f>LARGE(K102:X102, 1) - LARGE(K102:X102, 2)</f>
        <v/>
      </c>
    </row>
    <row r="103" ht="19" customHeight="1">
      <c r="A103" s="34" t="n">
        <v>100</v>
      </c>
      <c r="B103" s="35" t="inlineStr">
        <is>
          <t>JANTA INTER COLLEGE BEHAT'S HALL WAST PART</t>
        </is>
      </c>
      <c r="C103" s="36" t="n">
        <v>911</v>
      </c>
      <c r="D103" s="36" t="n">
        <v>399</v>
      </c>
      <c r="E103" s="36" t="n">
        <v>320</v>
      </c>
      <c r="F103" s="36" t="n">
        <v>0</v>
      </c>
      <c r="G103" s="36" t="n">
        <v>719</v>
      </c>
      <c r="H103" s="37">
        <f>G103/C103</f>
        <v/>
      </c>
      <c r="I103" s="36" t="n">
        <v>0</v>
      </c>
      <c r="J103" s="36" t="n">
        <v>0</v>
      </c>
      <c r="K103" s="36" t="n">
        <v>1</v>
      </c>
      <c r="L103" s="36" t="n">
        <v>99</v>
      </c>
      <c r="M103" s="36" t="n">
        <v>576</v>
      </c>
      <c r="N103" s="36" t="n">
        <v>10</v>
      </c>
      <c r="O103" s="36" t="n">
        <v>0</v>
      </c>
      <c r="P103" s="36" t="n">
        <v>0</v>
      </c>
      <c r="Q103" s="36" t="n">
        <v>0</v>
      </c>
      <c r="R103" s="36" t="n">
        <v>4</v>
      </c>
      <c r="S103" s="36" t="n">
        <v>3</v>
      </c>
      <c r="T103" s="36" t="n">
        <v>3</v>
      </c>
      <c r="U103" s="36" t="n">
        <v>3</v>
      </c>
      <c r="V103" s="36" t="n">
        <v>10</v>
      </c>
      <c r="W103" s="36" t="n">
        <v>2</v>
      </c>
      <c r="X103" s="36" t="n">
        <v>8</v>
      </c>
      <c r="Y103" s="38">
        <f>SUM(K103:X103)</f>
        <v/>
      </c>
      <c r="Z103" s="39">
        <f>G103-Y103</f>
        <v/>
      </c>
      <c r="AA103" s="50">
        <f>INDEX($K$3:$X$3, MATCH(MAX(K103:X103), K103:X103, 0))</f>
        <v/>
      </c>
      <c r="AB103" s="51">
        <f>LARGE(K103:X103, 1) - LARGE(K103:X103, 2)</f>
        <v/>
      </c>
    </row>
    <row r="104" ht="19" customHeight="1">
      <c r="A104" s="18" t="n">
        <v>101</v>
      </c>
      <c r="B104" s="19" t="inlineStr">
        <is>
          <t>JANTA INTER COLLEGE ROOM NO. 7 BEHAT</t>
        </is>
      </c>
      <c r="C104" s="31" t="n">
        <v>1384</v>
      </c>
      <c r="D104" s="31" t="n">
        <v>610</v>
      </c>
      <c r="E104" s="31" t="n">
        <v>506</v>
      </c>
      <c r="F104" s="31" t="n">
        <v>0</v>
      </c>
      <c r="G104" s="31" t="n">
        <v>1116</v>
      </c>
      <c r="H104" s="32">
        <f>G104/C104</f>
        <v/>
      </c>
      <c r="I104" s="31" t="n">
        <v>0</v>
      </c>
      <c r="J104" s="31" t="n">
        <v>0</v>
      </c>
      <c r="K104" s="31" t="n">
        <v>3</v>
      </c>
      <c r="L104" s="31" t="n">
        <v>477</v>
      </c>
      <c r="M104" s="31" t="n">
        <v>448</v>
      </c>
      <c r="N104" s="31" t="n">
        <v>155</v>
      </c>
      <c r="O104" s="31" t="n">
        <v>1</v>
      </c>
      <c r="P104" s="31" t="n">
        <v>0</v>
      </c>
      <c r="Q104" s="31" t="n">
        <v>0</v>
      </c>
      <c r="R104" s="31" t="n">
        <v>5</v>
      </c>
      <c r="S104" s="31" t="n">
        <v>2</v>
      </c>
      <c r="T104" s="31" t="n">
        <v>1</v>
      </c>
      <c r="U104" s="31" t="n">
        <v>17</v>
      </c>
      <c r="V104" s="31" t="n">
        <v>1</v>
      </c>
      <c r="W104" s="31" t="n">
        <v>0</v>
      </c>
      <c r="X104" s="31" t="n">
        <v>6</v>
      </c>
      <c r="Y104" s="20">
        <f>SUM(K104:X104)</f>
        <v/>
      </c>
      <c r="Z104" s="33">
        <f>G104-Y104</f>
        <v/>
      </c>
      <c r="AA104" s="48">
        <f>INDEX($K$3:$X$3, MATCH(MAX(K104:X104), K104:X104, 0))</f>
        <v/>
      </c>
      <c r="AB104" s="49">
        <f>LARGE(K104:X104, 1) - LARGE(K104:X104, 2)</f>
        <v/>
      </c>
    </row>
    <row r="105" ht="19" customHeight="1">
      <c r="A105" s="34" t="n">
        <v>102</v>
      </c>
      <c r="B105" s="35" t="inlineStr">
        <is>
          <t>JANTA INTER COLLEGE ROOM NO. 3 BEHAT</t>
        </is>
      </c>
      <c r="C105" s="36" t="n">
        <v>1337</v>
      </c>
      <c r="D105" s="36" t="n">
        <v>510</v>
      </c>
      <c r="E105" s="36" t="n">
        <v>476</v>
      </c>
      <c r="F105" s="36" t="n">
        <v>0</v>
      </c>
      <c r="G105" s="36" t="n">
        <v>986</v>
      </c>
      <c r="H105" s="37">
        <f>G105/C105</f>
        <v/>
      </c>
      <c r="I105" s="36" t="n">
        <v>6</v>
      </c>
      <c r="J105" s="36" t="n">
        <v>0</v>
      </c>
      <c r="K105" s="36" t="n">
        <v>1</v>
      </c>
      <c r="L105" s="36" t="n">
        <v>183</v>
      </c>
      <c r="M105" s="36" t="n">
        <v>649</v>
      </c>
      <c r="N105" s="36" t="n">
        <v>138</v>
      </c>
      <c r="O105" s="36" t="n">
        <v>1</v>
      </c>
      <c r="P105" s="36" t="n">
        <v>1</v>
      </c>
      <c r="Q105" s="36" t="n">
        <v>0</v>
      </c>
      <c r="R105" s="36" t="n">
        <v>6</v>
      </c>
      <c r="S105" s="36" t="n">
        <v>1</v>
      </c>
      <c r="T105" s="36" t="n">
        <v>1</v>
      </c>
      <c r="U105" s="36" t="n">
        <v>2</v>
      </c>
      <c r="V105" s="36" t="n">
        <v>1</v>
      </c>
      <c r="W105" s="36" t="n">
        <v>1</v>
      </c>
      <c r="X105" s="36" t="n">
        <v>1</v>
      </c>
      <c r="Y105" s="38">
        <f>SUM(K105:X105)</f>
        <v/>
      </c>
      <c r="Z105" s="39">
        <f>G105-Y105</f>
        <v/>
      </c>
      <c r="AA105" s="50">
        <f>INDEX($K$3:$X$3, MATCH(MAX(K105:X105), K105:X105, 0))</f>
        <v/>
      </c>
      <c r="AB105" s="51">
        <f>LARGE(K105:X105, 1) - LARGE(K105:X105, 2)</f>
        <v/>
      </c>
    </row>
    <row r="106" ht="19" customHeight="1">
      <c r="A106" s="18" t="n">
        <v>103</v>
      </c>
      <c r="B106" s="19" t="inlineStr">
        <is>
          <t>PRATHMIK VIDYALAYA ROOM NO. 1 KADARPUR</t>
        </is>
      </c>
      <c r="C106" s="31" t="n">
        <v>1484</v>
      </c>
      <c r="D106" s="31" t="n">
        <v>685</v>
      </c>
      <c r="E106" s="31" t="n">
        <v>461</v>
      </c>
      <c r="F106" s="31" t="n">
        <v>0</v>
      </c>
      <c r="G106" s="31" t="n">
        <v>1146</v>
      </c>
      <c r="H106" s="32">
        <f>G106/C106</f>
        <v/>
      </c>
      <c r="I106" s="31" t="n">
        <v>0</v>
      </c>
      <c r="J106" s="31" t="n">
        <v>0</v>
      </c>
      <c r="K106" s="31" t="n">
        <v>2</v>
      </c>
      <c r="L106" s="31" t="n">
        <v>501</v>
      </c>
      <c r="M106" s="31" t="n">
        <v>310</v>
      </c>
      <c r="N106" s="31" t="n">
        <v>286</v>
      </c>
      <c r="O106" s="31" t="n">
        <v>5</v>
      </c>
      <c r="P106" s="31" t="n">
        <v>3</v>
      </c>
      <c r="Q106" s="31" t="n">
        <v>2</v>
      </c>
      <c r="R106" s="31" t="n">
        <v>3</v>
      </c>
      <c r="S106" s="31" t="n">
        <v>0</v>
      </c>
      <c r="T106" s="31" t="n">
        <v>3</v>
      </c>
      <c r="U106" s="31" t="n">
        <v>4</v>
      </c>
      <c r="V106" s="31" t="n">
        <v>3</v>
      </c>
      <c r="W106" s="31" t="n">
        <v>9</v>
      </c>
      <c r="X106" s="31" t="n">
        <v>15</v>
      </c>
      <c r="Y106" s="20">
        <f>SUM(K106:X106)</f>
        <v/>
      </c>
      <c r="Z106" s="33">
        <f>G106-Y106</f>
        <v/>
      </c>
      <c r="AA106" s="48">
        <f>INDEX($K$3:$X$3, MATCH(MAX(K106:X106), K106:X106, 0))</f>
        <v/>
      </c>
      <c r="AB106" s="49">
        <f>LARGE(K106:X106, 1) - LARGE(K106:X106, 2)</f>
        <v/>
      </c>
    </row>
    <row r="107" ht="19" customHeight="1">
      <c r="A107" s="34" t="n">
        <v>104</v>
      </c>
      <c r="B107" s="35" t="inlineStr">
        <is>
          <t>PRATHMIK VIDYALAYA ROOM NO. 3 YUSUFKHERI TALABPUR URF USAND</t>
        </is>
      </c>
      <c r="C107" s="36" t="n">
        <v>969</v>
      </c>
      <c r="D107" s="36" t="n">
        <v>373</v>
      </c>
      <c r="E107" s="36" t="n">
        <v>344</v>
      </c>
      <c r="F107" s="36" t="n">
        <v>0</v>
      </c>
      <c r="G107" s="36" t="n">
        <v>717</v>
      </c>
      <c r="H107" s="37">
        <f>G107/C107</f>
        <v/>
      </c>
      <c r="I107" s="36" t="n">
        <v>0</v>
      </c>
      <c r="J107" s="36" t="n">
        <v>0</v>
      </c>
      <c r="K107" s="36" t="n">
        <v>11</v>
      </c>
      <c r="L107" s="36" t="n">
        <v>446</v>
      </c>
      <c r="M107" s="36" t="n">
        <v>118</v>
      </c>
      <c r="N107" s="36" t="n">
        <v>118</v>
      </c>
      <c r="O107" s="36" t="n">
        <v>1</v>
      </c>
      <c r="P107" s="36" t="n">
        <v>4</v>
      </c>
      <c r="Q107" s="36" t="n">
        <v>0</v>
      </c>
      <c r="R107" s="36" t="n">
        <v>2</v>
      </c>
      <c r="S107" s="36" t="n">
        <v>2</v>
      </c>
      <c r="T107" s="36" t="n">
        <v>2</v>
      </c>
      <c r="U107" s="36" t="n">
        <v>4</v>
      </c>
      <c r="V107" s="36" t="n">
        <v>1</v>
      </c>
      <c r="W107" s="36" t="n">
        <v>5</v>
      </c>
      <c r="X107" s="36" t="n">
        <v>3</v>
      </c>
      <c r="Y107" s="38">
        <f>SUM(K107:X107)</f>
        <v/>
      </c>
      <c r="Z107" s="39">
        <f>G107-Y107</f>
        <v/>
      </c>
      <c r="AA107" s="50">
        <f>INDEX($K$3:$X$3, MATCH(MAX(K107:X107), K107:X107, 0))</f>
        <v/>
      </c>
      <c r="AB107" s="51">
        <f>LARGE(K107:X107, 1) - LARGE(K107:X107, 2)</f>
        <v/>
      </c>
    </row>
    <row r="108" ht="19" customHeight="1">
      <c r="A108" s="18" t="n">
        <v>105</v>
      </c>
      <c r="B108" s="19" t="inlineStr">
        <is>
          <t>PRATHMIK VIDYALAYA ROOM NO. 2 YUSUFKHERI TALABPUR URF USAND</t>
        </is>
      </c>
      <c r="C108" s="31" t="n">
        <v>823</v>
      </c>
      <c r="D108" s="31" t="n">
        <v>331</v>
      </c>
      <c r="E108" s="31" t="n">
        <v>292</v>
      </c>
      <c r="F108" s="31" t="n">
        <v>0</v>
      </c>
      <c r="G108" s="31" t="n">
        <v>623</v>
      </c>
      <c r="H108" s="32">
        <f>G108/C108</f>
        <v/>
      </c>
      <c r="I108" s="31" t="n">
        <v>0</v>
      </c>
      <c r="J108" s="31" t="n">
        <v>0</v>
      </c>
      <c r="K108" s="31" t="n">
        <v>2</v>
      </c>
      <c r="L108" s="31" t="n">
        <v>72</v>
      </c>
      <c r="M108" s="31" t="n">
        <v>85</v>
      </c>
      <c r="N108" s="31" t="n">
        <v>448</v>
      </c>
      <c r="O108" s="31" t="n">
        <v>3</v>
      </c>
      <c r="P108" s="31" t="n">
        <v>0</v>
      </c>
      <c r="Q108" s="31" t="n">
        <v>1</v>
      </c>
      <c r="R108" s="31" t="n">
        <v>3</v>
      </c>
      <c r="S108" s="31" t="n">
        <v>2</v>
      </c>
      <c r="T108" s="31" t="n">
        <v>1</v>
      </c>
      <c r="U108" s="31" t="n">
        <v>0</v>
      </c>
      <c r="V108" s="31" t="n">
        <v>1</v>
      </c>
      <c r="W108" s="31" t="n">
        <v>2</v>
      </c>
      <c r="X108" s="31" t="n">
        <v>3</v>
      </c>
      <c r="Y108" s="20">
        <f>SUM(K108:X108)</f>
        <v/>
      </c>
      <c r="Z108" s="33">
        <f>G108-Y108</f>
        <v/>
      </c>
      <c r="AA108" s="48">
        <f>INDEX($K$3:$X$3, MATCH(MAX(K108:X108), K108:X108, 0))</f>
        <v/>
      </c>
      <c r="AB108" s="49">
        <f>LARGE(K108:X108, 1) - LARGE(K108:X108, 2)</f>
        <v/>
      </c>
    </row>
    <row r="109" ht="19" customHeight="1">
      <c r="A109" s="34" t="n">
        <v>106</v>
      </c>
      <c r="B109" s="35" t="inlineStr">
        <is>
          <t>PRATHMIK VIDYALAYA ROOM NO. 1 HARIPUR</t>
        </is>
      </c>
      <c r="C109" s="36" t="n">
        <v>1275</v>
      </c>
      <c r="D109" s="36" t="n">
        <v>509</v>
      </c>
      <c r="E109" s="36" t="n">
        <v>462</v>
      </c>
      <c r="F109" s="36" t="n">
        <v>0</v>
      </c>
      <c r="G109" s="36" t="n">
        <v>971</v>
      </c>
      <c r="H109" s="37">
        <f>G109/C109</f>
        <v/>
      </c>
      <c r="I109" s="36" t="n">
        <v>2</v>
      </c>
      <c r="J109" s="36" t="n">
        <v>0</v>
      </c>
      <c r="K109" s="36" t="n">
        <v>29</v>
      </c>
      <c r="L109" s="36" t="n">
        <v>259</v>
      </c>
      <c r="M109" s="36" t="n">
        <v>69</v>
      </c>
      <c r="N109" s="36" t="n">
        <v>589</v>
      </c>
      <c r="O109" s="36" t="n">
        <v>6</v>
      </c>
      <c r="P109" s="36" t="n">
        <v>0</v>
      </c>
      <c r="Q109" s="36" t="n">
        <v>0</v>
      </c>
      <c r="R109" s="36" t="n">
        <v>11</v>
      </c>
      <c r="S109" s="36" t="n">
        <v>1</v>
      </c>
      <c r="T109" s="36" t="n">
        <v>0</v>
      </c>
      <c r="U109" s="36" t="n">
        <v>1</v>
      </c>
      <c r="V109" s="36" t="n">
        <v>0</v>
      </c>
      <c r="W109" s="36" t="n">
        <v>5</v>
      </c>
      <c r="X109" s="36" t="n">
        <v>1</v>
      </c>
      <c r="Y109" s="38">
        <f>SUM(K109:X109)</f>
        <v/>
      </c>
      <c r="Z109" s="39">
        <f>G109-Y109</f>
        <v/>
      </c>
      <c r="AA109" s="50">
        <f>INDEX($K$3:$X$3, MATCH(MAX(K109:X109), K109:X109, 0))</f>
        <v/>
      </c>
      <c r="AB109" s="51">
        <f>LARGE(K109:X109, 1) - LARGE(K109:X109, 2)</f>
        <v/>
      </c>
    </row>
    <row r="110" ht="19" customHeight="1">
      <c r="A110" s="18" t="n">
        <v>107</v>
      </c>
      <c r="B110" s="19" t="inlineStr">
        <is>
          <t>PRATHMIK VIDYALAYA ROOM NO. 1 RUHALKA</t>
        </is>
      </c>
      <c r="C110" s="31" t="n">
        <v>1324</v>
      </c>
      <c r="D110" s="31" t="n">
        <v>544</v>
      </c>
      <c r="E110" s="31" t="n">
        <v>514</v>
      </c>
      <c r="F110" s="31" t="n">
        <v>0</v>
      </c>
      <c r="G110" s="31" t="n">
        <v>1058</v>
      </c>
      <c r="H110" s="32">
        <f>G110/C110</f>
        <v/>
      </c>
      <c r="I110" s="31" t="n">
        <v>0</v>
      </c>
      <c r="J110" s="31" t="n">
        <v>0</v>
      </c>
      <c r="K110" s="31" t="n">
        <v>2</v>
      </c>
      <c r="L110" s="31" t="n">
        <v>183</v>
      </c>
      <c r="M110" s="31" t="n">
        <v>421</v>
      </c>
      <c r="N110" s="31" t="n">
        <v>422</v>
      </c>
      <c r="O110" s="31" t="n">
        <v>3</v>
      </c>
      <c r="P110" s="31" t="n">
        <v>4</v>
      </c>
      <c r="Q110" s="31" t="n">
        <v>4</v>
      </c>
      <c r="R110" s="31" t="n">
        <v>4</v>
      </c>
      <c r="S110" s="31" t="n">
        <v>1</v>
      </c>
      <c r="T110" s="31" t="n">
        <v>2</v>
      </c>
      <c r="U110" s="31" t="n">
        <v>1</v>
      </c>
      <c r="V110" s="31" t="n">
        <v>0</v>
      </c>
      <c r="W110" s="31" t="n">
        <v>5</v>
      </c>
      <c r="X110" s="31" t="n">
        <v>6</v>
      </c>
      <c r="Y110" s="20">
        <f>SUM(K110:X110)</f>
        <v/>
      </c>
      <c r="Z110" s="33">
        <f>G110-Y110</f>
        <v/>
      </c>
      <c r="AA110" s="48">
        <f>INDEX($K$3:$X$3, MATCH(MAX(K110:X110), K110:X110, 0))</f>
        <v/>
      </c>
      <c r="AB110" s="49">
        <f>LARGE(K110:X110, 1) - LARGE(K110:X110, 2)</f>
        <v/>
      </c>
    </row>
    <row r="111" ht="19" customHeight="1">
      <c r="A111" s="34" t="n">
        <v>108</v>
      </c>
      <c r="B111" s="35" t="inlineStr">
        <is>
          <t>PRATHMIK VIDYALAYA ROOM NO. 2 RUHALKI</t>
        </is>
      </c>
      <c r="C111" s="36" t="n">
        <v>936</v>
      </c>
      <c r="D111" s="36" t="n">
        <v>358</v>
      </c>
      <c r="E111" s="36" t="n">
        <v>323</v>
      </c>
      <c r="F111" s="36" t="n">
        <v>0</v>
      </c>
      <c r="G111" s="36" t="n">
        <v>681</v>
      </c>
      <c r="H111" s="37">
        <f>G111/C111</f>
        <v/>
      </c>
      <c r="I111" s="36" t="n">
        <v>247</v>
      </c>
      <c r="J111" s="36" t="n">
        <v>0</v>
      </c>
      <c r="K111" s="36" t="n">
        <v>1</v>
      </c>
      <c r="L111" s="36" t="n">
        <v>163</v>
      </c>
      <c r="M111" s="36" t="n">
        <v>143</v>
      </c>
      <c r="N111" s="36" t="n">
        <v>361</v>
      </c>
      <c r="O111" s="36" t="n">
        <v>4</v>
      </c>
      <c r="P111" s="36" t="n">
        <v>0</v>
      </c>
      <c r="Q111" s="36" t="n">
        <v>0</v>
      </c>
      <c r="R111" s="36" t="n">
        <v>0</v>
      </c>
      <c r="S111" s="36" t="n">
        <v>0</v>
      </c>
      <c r="T111" s="36" t="n">
        <v>1</v>
      </c>
      <c r="U111" s="36" t="n">
        <v>2</v>
      </c>
      <c r="V111" s="36" t="n">
        <v>0</v>
      </c>
      <c r="W111" s="36" t="n">
        <v>5</v>
      </c>
      <c r="X111" s="36" t="n">
        <v>1</v>
      </c>
      <c r="Y111" s="38">
        <f>SUM(K111:X111)</f>
        <v/>
      </c>
      <c r="Z111" s="39">
        <f>G111-Y111</f>
        <v/>
      </c>
      <c r="AA111" s="50">
        <f>INDEX($K$3:$X$3, MATCH(MAX(K111:X111), K111:X111, 0))</f>
        <v/>
      </c>
      <c r="AB111" s="51">
        <f>LARGE(K111:X111, 1) - LARGE(K111:X111, 2)</f>
        <v/>
      </c>
    </row>
    <row r="112" ht="19" customHeight="1">
      <c r="A112" s="18" t="n">
        <v>109</v>
      </c>
      <c r="B112" s="19" t="inlineStr">
        <is>
          <t>PURVA MADHYAMIK VIDYALAYA ROOM NO. 1 CHATKI</t>
        </is>
      </c>
      <c r="C112" s="31" t="n">
        <v>1166</v>
      </c>
      <c r="D112" s="31" t="n">
        <v>425</v>
      </c>
      <c r="E112" s="31" t="n">
        <v>446</v>
      </c>
      <c r="F112" s="31" t="n">
        <v>0</v>
      </c>
      <c r="G112" s="31" t="n">
        <v>871</v>
      </c>
      <c r="H112" s="32">
        <f>G112/C112</f>
        <v/>
      </c>
      <c r="I112" s="31" t="n">
        <v>289</v>
      </c>
      <c r="J112" s="31" t="n">
        <v>0</v>
      </c>
      <c r="K112" s="31" t="n">
        <v>5</v>
      </c>
      <c r="L112" s="31" t="n">
        <v>339</v>
      </c>
      <c r="M112" s="31" t="n">
        <v>403</v>
      </c>
      <c r="N112" s="31" t="n">
        <v>97</v>
      </c>
      <c r="O112" s="31" t="n">
        <v>2</v>
      </c>
      <c r="P112" s="31" t="n">
        <v>2</v>
      </c>
      <c r="Q112" s="31" t="n">
        <v>4</v>
      </c>
      <c r="R112" s="31" t="n">
        <v>3</v>
      </c>
      <c r="S112" s="31" t="n">
        <v>1</v>
      </c>
      <c r="T112" s="31" t="n">
        <v>2</v>
      </c>
      <c r="U112" s="31" t="n">
        <v>3</v>
      </c>
      <c r="V112" s="31" t="n">
        <v>4</v>
      </c>
      <c r="W112" s="31" t="n">
        <v>5</v>
      </c>
      <c r="X112" s="31" t="n">
        <v>1</v>
      </c>
      <c r="Y112" s="20">
        <f>SUM(K112:X112)</f>
        <v/>
      </c>
      <c r="Z112" s="33">
        <f>G112-Y112</f>
        <v/>
      </c>
      <c r="AA112" s="48">
        <f>INDEX($K$3:$X$3, MATCH(MAX(K112:X112), K112:X112, 0))</f>
        <v/>
      </c>
      <c r="AB112" s="49">
        <f>LARGE(K112:X112, 1) - LARGE(K112:X112, 2)</f>
        <v/>
      </c>
    </row>
    <row r="113" ht="19" customHeight="1">
      <c r="A113" s="34" t="n">
        <v>110</v>
      </c>
      <c r="B113" s="35" t="inlineStr">
        <is>
          <t>PRATHMIK VIDYALAYA ROOM NO. 1 RATANPUR KALAYANPUR</t>
        </is>
      </c>
      <c r="C113" s="36" t="n">
        <v>1072</v>
      </c>
      <c r="D113" s="36" t="n">
        <v>425</v>
      </c>
      <c r="E113" s="36" t="n">
        <v>390</v>
      </c>
      <c r="F113" s="36" t="n">
        <v>0</v>
      </c>
      <c r="G113" s="36" t="n">
        <v>815</v>
      </c>
      <c r="H113" s="37">
        <f>G113/C113</f>
        <v/>
      </c>
      <c r="I113" s="36" t="n">
        <v>0</v>
      </c>
      <c r="J113" s="36" t="n">
        <v>0</v>
      </c>
      <c r="K113" s="36" t="n">
        <v>3</v>
      </c>
      <c r="L113" s="36" t="n">
        <v>356</v>
      </c>
      <c r="M113" s="36" t="n">
        <v>62</v>
      </c>
      <c r="N113" s="36" t="n">
        <v>371</v>
      </c>
      <c r="O113" s="36" t="n">
        <v>4</v>
      </c>
      <c r="P113" s="36" t="n">
        <v>2</v>
      </c>
      <c r="Q113" s="36" t="n">
        <v>1</v>
      </c>
      <c r="R113" s="36" t="n">
        <v>5</v>
      </c>
      <c r="S113" s="36" t="n">
        <v>2</v>
      </c>
      <c r="T113" s="36" t="n">
        <v>0</v>
      </c>
      <c r="U113" s="36" t="n">
        <v>3</v>
      </c>
      <c r="V113" s="36" t="n">
        <v>2</v>
      </c>
      <c r="W113" s="36" t="n">
        <v>3</v>
      </c>
      <c r="X113" s="36" t="n">
        <v>1</v>
      </c>
      <c r="Y113" s="38">
        <f>SUM(K113:X113)</f>
        <v/>
      </c>
      <c r="Z113" s="39">
        <f>G113-Y113</f>
        <v/>
      </c>
      <c r="AA113" s="50">
        <f>INDEX($K$3:$X$3, MATCH(MAX(K113:X113), K113:X113, 0))</f>
        <v/>
      </c>
      <c r="AB113" s="51">
        <f>LARGE(K113:X113, 1) - LARGE(K113:X113, 2)</f>
        <v/>
      </c>
    </row>
    <row r="114" ht="19" customHeight="1">
      <c r="A114" s="18" t="n">
        <v>111</v>
      </c>
      <c r="B114" s="19" t="inlineStr">
        <is>
          <t>PRATHMIK VIDYALAYA ROOM NO. 1 RAWASOLI</t>
        </is>
      </c>
      <c r="C114" s="31" t="n">
        <v>1008</v>
      </c>
      <c r="D114" s="31" t="n">
        <v>452</v>
      </c>
      <c r="E114" s="31" t="n">
        <v>411</v>
      </c>
      <c r="F114" s="31" t="n">
        <v>0</v>
      </c>
      <c r="G114" s="31" t="n">
        <v>863</v>
      </c>
      <c r="H114" s="32">
        <f>G114/C114</f>
        <v/>
      </c>
      <c r="I114" s="31" t="n">
        <v>20</v>
      </c>
      <c r="J114" s="31" t="n">
        <v>0</v>
      </c>
      <c r="K114" s="31" t="n">
        <v>2</v>
      </c>
      <c r="L114" s="31" t="n">
        <v>318</v>
      </c>
      <c r="M114" s="31" t="n">
        <v>298</v>
      </c>
      <c r="N114" s="31" t="n">
        <v>218</v>
      </c>
      <c r="O114" s="31" t="n">
        <v>2</v>
      </c>
      <c r="P114" s="31" t="n">
        <v>4</v>
      </c>
      <c r="Q114" s="31" t="n">
        <v>0</v>
      </c>
      <c r="R114" s="31" t="n">
        <v>1</v>
      </c>
      <c r="S114" s="31" t="n">
        <v>2</v>
      </c>
      <c r="T114" s="31" t="n">
        <v>0</v>
      </c>
      <c r="U114" s="31" t="n">
        <v>4</v>
      </c>
      <c r="V114" s="31" t="n">
        <v>4</v>
      </c>
      <c r="W114" s="31" t="n">
        <v>5</v>
      </c>
      <c r="X114" s="31" t="n">
        <v>5</v>
      </c>
      <c r="Y114" s="20">
        <f>SUM(K114:X114)</f>
        <v/>
      </c>
      <c r="Z114" s="33">
        <f>G114-Y114</f>
        <v/>
      </c>
      <c r="AA114" s="48">
        <f>INDEX($K$3:$X$3, MATCH(MAX(K114:X114), K114:X114, 0))</f>
        <v/>
      </c>
      <c r="AB114" s="49">
        <f>LARGE(K114:X114, 1) - LARGE(K114:X114, 2)</f>
        <v/>
      </c>
    </row>
    <row r="115" ht="19" customHeight="1">
      <c r="A115" s="34" t="n">
        <v>112</v>
      </c>
      <c r="B115" s="35" t="inlineStr">
        <is>
          <t>PRATHMIK VIDYALAYA ROOM NO. 1 RANDOL</t>
        </is>
      </c>
      <c r="C115" s="36" t="n">
        <v>1211</v>
      </c>
      <c r="D115" s="36" t="n">
        <v>451</v>
      </c>
      <c r="E115" s="36" t="n">
        <v>406</v>
      </c>
      <c r="F115" s="36" t="n">
        <v>0</v>
      </c>
      <c r="G115" s="36" t="n">
        <v>857</v>
      </c>
      <c r="H115" s="37">
        <f>G115/C115</f>
        <v/>
      </c>
      <c r="I115" s="36" t="n">
        <v>7</v>
      </c>
      <c r="J115" s="36" t="n">
        <v>0</v>
      </c>
      <c r="K115" s="36" t="n">
        <v>2</v>
      </c>
      <c r="L115" s="36" t="n">
        <v>329</v>
      </c>
      <c r="M115" s="36" t="n">
        <v>138</v>
      </c>
      <c r="N115" s="36" t="n">
        <v>368</v>
      </c>
      <c r="O115" s="36" t="n">
        <v>2</v>
      </c>
      <c r="P115" s="36" t="n">
        <v>0</v>
      </c>
      <c r="Q115" s="36" t="n">
        <v>1</v>
      </c>
      <c r="R115" s="36" t="n">
        <v>2</v>
      </c>
      <c r="S115" s="36" t="n">
        <v>1</v>
      </c>
      <c r="T115" s="36" t="n">
        <v>0</v>
      </c>
      <c r="U115" s="36" t="n">
        <v>2</v>
      </c>
      <c r="V115" s="36" t="n">
        <v>3</v>
      </c>
      <c r="W115" s="36" t="n">
        <v>3</v>
      </c>
      <c r="X115" s="36" t="n">
        <v>6</v>
      </c>
      <c r="Y115" s="38">
        <f>SUM(K115:X115)</f>
        <v/>
      </c>
      <c r="Z115" s="39">
        <f>G115-Y115</f>
        <v/>
      </c>
      <c r="AA115" s="50">
        <f>INDEX($K$3:$X$3, MATCH(MAX(K115:X115), K115:X115, 0))</f>
        <v/>
      </c>
      <c r="AB115" s="51">
        <f>LARGE(K115:X115, 1) - LARGE(K115:X115, 2)</f>
        <v/>
      </c>
    </row>
    <row r="116" ht="19" customHeight="1">
      <c r="A116" s="18" t="n">
        <v>113</v>
      </c>
      <c r="B116" s="19" t="inlineStr">
        <is>
          <t>PRATHMIK VIDYALAYA ROOM NO. 2 RANDOL</t>
        </is>
      </c>
      <c r="C116" s="31" t="n">
        <v>1344</v>
      </c>
      <c r="D116" s="31" t="n">
        <v>520</v>
      </c>
      <c r="E116" s="31" t="n">
        <v>453</v>
      </c>
      <c r="F116" s="31" t="n">
        <v>0</v>
      </c>
      <c r="G116" s="31" t="n">
        <v>973</v>
      </c>
      <c r="H116" s="32">
        <f>G116/C116</f>
        <v/>
      </c>
      <c r="I116" s="31" t="n">
        <v>173</v>
      </c>
      <c r="J116" s="31" t="n">
        <v>0</v>
      </c>
      <c r="K116" s="31" t="n">
        <v>4</v>
      </c>
      <c r="L116" s="31" t="n">
        <v>148</v>
      </c>
      <c r="M116" s="31" t="n">
        <v>314</v>
      </c>
      <c r="N116" s="31" t="n">
        <v>478</v>
      </c>
      <c r="O116" s="31" t="n">
        <v>8</v>
      </c>
      <c r="P116" s="31" t="n">
        <v>5</v>
      </c>
      <c r="Q116" s="31" t="n">
        <v>0</v>
      </c>
      <c r="R116" s="31" t="n">
        <v>1</v>
      </c>
      <c r="S116" s="31" t="n">
        <v>0</v>
      </c>
      <c r="T116" s="31" t="n">
        <v>4</v>
      </c>
      <c r="U116" s="31" t="n">
        <v>2</v>
      </c>
      <c r="V116" s="31" t="n">
        <v>1</v>
      </c>
      <c r="W116" s="31" t="n">
        <v>2</v>
      </c>
      <c r="X116" s="31" t="n">
        <v>6</v>
      </c>
      <c r="Y116" s="20">
        <f>SUM(K116:X116)</f>
        <v/>
      </c>
      <c r="Z116" s="33">
        <f>G116-Y116</f>
        <v/>
      </c>
      <c r="AA116" s="48">
        <f>INDEX($K$3:$X$3, MATCH(MAX(K116:X116), K116:X116, 0))</f>
        <v/>
      </c>
      <c r="AB116" s="49">
        <f>LARGE(K116:X116, 1) - LARGE(K116:X116, 2)</f>
        <v/>
      </c>
    </row>
    <row r="117" ht="19" customHeight="1">
      <c r="A117" s="34" t="n">
        <v>114</v>
      </c>
      <c r="B117" s="35" t="inlineStr">
        <is>
          <t>PRATHMIK VIDYALAYA ROOM NO. 1 MALAKPUR</t>
        </is>
      </c>
      <c r="C117" s="36" t="n">
        <v>645</v>
      </c>
      <c r="D117" s="36" t="n">
        <v>222</v>
      </c>
      <c r="E117" s="36" t="n">
        <v>249</v>
      </c>
      <c r="F117" s="36" t="n">
        <v>0</v>
      </c>
      <c r="G117" s="36" t="n">
        <v>471</v>
      </c>
      <c r="H117" s="37">
        <f>G117/C117</f>
        <v/>
      </c>
      <c r="I117" s="36" t="n">
        <v>6</v>
      </c>
      <c r="J117" s="36" t="n">
        <v>0</v>
      </c>
      <c r="K117" s="36" t="n">
        <v>2</v>
      </c>
      <c r="L117" s="36" t="n">
        <v>178</v>
      </c>
      <c r="M117" s="36" t="n">
        <v>262</v>
      </c>
      <c r="N117" s="36" t="n">
        <v>18</v>
      </c>
      <c r="O117" s="36" t="n">
        <v>2</v>
      </c>
      <c r="P117" s="36" t="n">
        <v>2</v>
      </c>
      <c r="Q117" s="36" t="n">
        <v>0</v>
      </c>
      <c r="R117" s="36" t="n">
        <v>0</v>
      </c>
      <c r="S117" s="36" t="n">
        <v>0</v>
      </c>
      <c r="T117" s="36" t="n">
        <v>0</v>
      </c>
      <c r="U117" s="36" t="n">
        <v>1</v>
      </c>
      <c r="V117" s="36" t="n">
        <v>3</v>
      </c>
      <c r="W117" s="36" t="n">
        <v>1</v>
      </c>
      <c r="X117" s="36" t="n">
        <v>2</v>
      </c>
      <c r="Y117" s="38">
        <f>SUM(K117:X117)</f>
        <v/>
      </c>
      <c r="Z117" s="39">
        <f>G117-Y117</f>
        <v/>
      </c>
      <c r="AA117" s="50">
        <f>INDEX($K$3:$X$3, MATCH(MAX(K117:X117), K117:X117, 0))</f>
        <v/>
      </c>
      <c r="AB117" s="51">
        <f>LARGE(K117:X117, 1) - LARGE(K117:X117, 2)</f>
        <v/>
      </c>
    </row>
    <row r="118" ht="19" customHeight="1">
      <c r="A118" s="18" t="n">
        <v>115</v>
      </c>
      <c r="B118" s="19" t="inlineStr">
        <is>
          <t>PRATHMIK VIDYALAYA TOLI</t>
        </is>
      </c>
      <c r="C118" s="31" t="n">
        <v>1014</v>
      </c>
      <c r="D118" s="31" t="n">
        <v>415</v>
      </c>
      <c r="E118" s="31" t="n">
        <v>409</v>
      </c>
      <c r="F118" s="31" t="n">
        <v>0</v>
      </c>
      <c r="G118" s="31" t="n">
        <v>824</v>
      </c>
      <c r="H118" s="32">
        <f>G118/C118</f>
        <v/>
      </c>
      <c r="I118" s="31" t="n">
        <v>37</v>
      </c>
      <c r="J118" s="31" t="n">
        <v>0</v>
      </c>
      <c r="K118" s="31" t="n">
        <v>1</v>
      </c>
      <c r="L118" s="31" t="n">
        <v>73</v>
      </c>
      <c r="M118" s="31" t="n">
        <v>719</v>
      </c>
      <c r="N118" s="31" t="n">
        <v>15</v>
      </c>
      <c r="O118" s="31" t="n">
        <v>0</v>
      </c>
      <c r="P118" s="31" t="n">
        <v>0</v>
      </c>
      <c r="Q118" s="31" t="n">
        <v>0</v>
      </c>
      <c r="R118" s="31" t="n">
        <v>4</v>
      </c>
      <c r="S118" s="31" t="n">
        <v>0</v>
      </c>
      <c r="T118" s="31" t="n">
        <v>0</v>
      </c>
      <c r="U118" s="31" t="n">
        <v>1</v>
      </c>
      <c r="V118" s="31" t="n">
        <v>6</v>
      </c>
      <c r="W118" s="31" t="n">
        <v>1</v>
      </c>
      <c r="X118" s="31" t="n">
        <v>4</v>
      </c>
      <c r="Y118" s="20">
        <f>SUM(K118:X118)</f>
        <v/>
      </c>
      <c r="Z118" s="33">
        <f>G118-Y118</f>
        <v/>
      </c>
      <c r="AA118" s="48">
        <f>INDEX($K$3:$X$3, MATCH(MAX(K118:X118), K118:X118, 0))</f>
        <v/>
      </c>
      <c r="AB118" s="49">
        <f>LARGE(K118:X118, 1) - LARGE(K118:X118, 2)</f>
        <v/>
      </c>
    </row>
    <row r="119" ht="19" customHeight="1">
      <c r="A119" s="34" t="n">
        <v>116</v>
      </c>
      <c r="B119" s="35" t="inlineStr">
        <is>
          <t>NEHRU INTER COLLEGE ROOM NO. 1 AKALSIYA</t>
        </is>
      </c>
      <c r="C119" s="36" t="n">
        <v>1068</v>
      </c>
      <c r="D119" s="36" t="n">
        <v>347</v>
      </c>
      <c r="E119" s="36" t="n">
        <v>360</v>
      </c>
      <c r="F119" s="36" t="n">
        <v>0</v>
      </c>
      <c r="G119" s="36" t="n">
        <v>707</v>
      </c>
      <c r="H119" s="37">
        <f>G119/C119</f>
        <v/>
      </c>
      <c r="I119" s="36" t="n">
        <v>0</v>
      </c>
      <c r="J119" s="36" t="n">
        <v>0</v>
      </c>
      <c r="K119" s="36" t="n">
        <v>3</v>
      </c>
      <c r="L119" s="36" t="n">
        <v>380</v>
      </c>
      <c r="M119" s="36" t="n">
        <v>63</v>
      </c>
      <c r="N119" s="36" t="n">
        <v>231</v>
      </c>
      <c r="O119" s="36" t="n">
        <v>2</v>
      </c>
      <c r="P119" s="36" t="n">
        <v>1</v>
      </c>
      <c r="Q119" s="36" t="n">
        <v>5</v>
      </c>
      <c r="R119" s="36" t="n">
        <v>0</v>
      </c>
      <c r="S119" s="36" t="n">
        <v>1</v>
      </c>
      <c r="T119" s="36" t="n">
        <v>0</v>
      </c>
      <c r="U119" s="36" t="n">
        <v>4</v>
      </c>
      <c r="V119" s="36" t="n">
        <v>5</v>
      </c>
      <c r="W119" s="36" t="n">
        <v>8</v>
      </c>
      <c r="X119" s="36" t="n">
        <v>4</v>
      </c>
      <c r="Y119" s="38">
        <f>SUM(K119:X119)</f>
        <v/>
      </c>
      <c r="Z119" s="39">
        <f>G119-Y119</f>
        <v/>
      </c>
      <c r="AA119" s="50">
        <f>INDEX($K$3:$X$3, MATCH(MAX(K119:X119), K119:X119, 0))</f>
        <v/>
      </c>
      <c r="AB119" s="51">
        <f>LARGE(K119:X119, 1) - LARGE(K119:X119, 2)</f>
        <v/>
      </c>
    </row>
    <row r="120" ht="19" customHeight="1">
      <c r="A120" s="18" t="n">
        <v>117</v>
      </c>
      <c r="B120" s="19" t="inlineStr">
        <is>
          <t>NEHRU INTER COLLEGE ROOM NO. 2 AKALSIYA</t>
        </is>
      </c>
      <c r="C120" s="31" t="n">
        <v>997</v>
      </c>
      <c r="D120" s="31" t="n">
        <v>367</v>
      </c>
      <c r="E120" s="31" t="n">
        <v>342</v>
      </c>
      <c r="F120" s="31" t="n">
        <v>0</v>
      </c>
      <c r="G120" s="31" t="n">
        <v>709</v>
      </c>
      <c r="H120" s="32">
        <f>G120/C120</f>
        <v/>
      </c>
      <c r="I120" s="31" t="n">
        <v>345</v>
      </c>
      <c r="J120" s="31" t="n">
        <v>0</v>
      </c>
      <c r="K120" s="31" t="n">
        <v>2</v>
      </c>
      <c r="L120" s="31" t="n">
        <v>73</v>
      </c>
      <c r="M120" s="31" t="n">
        <v>400</v>
      </c>
      <c r="N120" s="31" t="n">
        <v>204</v>
      </c>
      <c r="O120" s="31" t="n">
        <v>10</v>
      </c>
      <c r="P120" s="31" t="n">
        <v>0</v>
      </c>
      <c r="Q120" s="31" t="n">
        <v>3</v>
      </c>
      <c r="R120" s="31" t="n">
        <v>4</v>
      </c>
      <c r="S120" s="31" t="n">
        <v>0</v>
      </c>
      <c r="T120" s="31" t="n">
        <v>2</v>
      </c>
      <c r="U120" s="31" t="n">
        <v>0</v>
      </c>
      <c r="V120" s="31" t="n">
        <v>8</v>
      </c>
      <c r="W120" s="31" t="n">
        <v>0</v>
      </c>
      <c r="X120" s="31" t="n">
        <v>3</v>
      </c>
      <c r="Y120" s="20">
        <f>SUM(K120:X120)</f>
        <v/>
      </c>
      <c r="Z120" s="33">
        <f>G120-Y120</f>
        <v/>
      </c>
      <c r="AA120" s="48">
        <f>INDEX($K$3:$X$3, MATCH(MAX(K120:X120), K120:X120, 0))</f>
        <v/>
      </c>
      <c r="AB120" s="49">
        <f>LARGE(K120:X120, 1) - LARGE(K120:X120, 2)</f>
        <v/>
      </c>
    </row>
    <row r="121" ht="19" customHeight="1">
      <c r="A121" s="34" t="n">
        <v>118</v>
      </c>
      <c r="B121" s="35" t="inlineStr">
        <is>
          <t>NEHRU INTER COLLEGE ROOM NO. 3 AKALSIYA</t>
        </is>
      </c>
      <c r="C121" s="36" t="n">
        <v>601</v>
      </c>
      <c r="D121" s="36" t="n">
        <v>225</v>
      </c>
      <c r="E121" s="36" t="n">
        <v>227</v>
      </c>
      <c r="F121" s="36" t="n">
        <v>0</v>
      </c>
      <c r="G121" s="36" t="n">
        <v>452</v>
      </c>
      <c r="H121" s="37">
        <f>G121/C121</f>
        <v/>
      </c>
      <c r="I121" s="36" t="n">
        <v>0</v>
      </c>
      <c r="J121" s="36" t="n">
        <v>0</v>
      </c>
      <c r="K121" s="36" t="n">
        <v>2</v>
      </c>
      <c r="L121" s="36" t="n">
        <v>59</v>
      </c>
      <c r="M121" s="36" t="n">
        <v>146</v>
      </c>
      <c r="N121" s="36" t="n">
        <v>225</v>
      </c>
      <c r="O121" s="36" t="n">
        <v>2</v>
      </c>
      <c r="P121" s="36" t="n">
        <v>2</v>
      </c>
      <c r="Q121" s="36" t="n">
        <v>0</v>
      </c>
      <c r="R121" s="36" t="n">
        <v>1</v>
      </c>
      <c r="S121" s="36" t="n">
        <v>0</v>
      </c>
      <c r="T121" s="36" t="n">
        <v>2</v>
      </c>
      <c r="U121" s="36" t="n">
        <v>3</v>
      </c>
      <c r="V121" s="36" t="n">
        <v>3</v>
      </c>
      <c r="W121" s="36" t="n">
        <v>4</v>
      </c>
      <c r="X121" s="36" t="n">
        <v>3</v>
      </c>
      <c r="Y121" s="38">
        <f>SUM(K121:X121)</f>
        <v/>
      </c>
      <c r="Z121" s="39">
        <f>G121-Y121</f>
        <v/>
      </c>
      <c r="AA121" s="50">
        <f>INDEX($K$3:$X$3, MATCH(MAX(K121:X121), K121:X121, 0))</f>
        <v/>
      </c>
      <c r="AB121" s="51">
        <f>LARGE(K121:X121, 1) - LARGE(K121:X121, 2)</f>
        <v/>
      </c>
    </row>
    <row r="122" ht="19" customHeight="1">
      <c r="A122" s="18" t="n">
        <v>119</v>
      </c>
      <c r="B122" s="19" t="inlineStr">
        <is>
          <t>PURVA MADHYMIK VIDYALAYA ROOM NO. 1 MURTAJAPUR M. BEHAT</t>
        </is>
      </c>
      <c r="C122" s="31" t="n">
        <v>940</v>
      </c>
      <c r="D122" s="31" t="n">
        <v>431</v>
      </c>
      <c r="E122" s="31" t="n">
        <v>361</v>
      </c>
      <c r="F122" s="31" t="n">
        <v>0</v>
      </c>
      <c r="G122" s="31" t="n">
        <v>792</v>
      </c>
      <c r="H122" s="32">
        <f>G122/C122</f>
        <v/>
      </c>
      <c r="I122" s="31" t="n">
        <v>66</v>
      </c>
      <c r="J122" s="31" t="n">
        <v>0</v>
      </c>
      <c r="K122" s="31" t="n">
        <v>0</v>
      </c>
      <c r="L122" s="31" t="n">
        <v>264</v>
      </c>
      <c r="M122" s="31" t="n">
        <v>254</v>
      </c>
      <c r="N122" s="31" t="n">
        <v>254</v>
      </c>
      <c r="O122" s="31" t="n">
        <v>1</v>
      </c>
      <c r="P122" s="31" t="n">
        <v>1</v>
      </c>
      <c r="Q122" s="31" t="n">
        <v>0</v>
      </c>
      <c r="R122" s="31" t="n">
        <v>2</v>
      </c>
      <c r="S122" s="31" t="n">
        <v>0</v>
      </c>
      <c r="T122" s="31" t="n">
        <v>1</v>
      </c>
      <c r="U122" s="31" t="n">
        <v>3</v>
      </c>
      <c r="V122" s="31" t="n">
        <v>6</v>
      </c>
      <c r="W122" s="31" t="n">
        <v>2</v>
      </c>
      <c r="X122" s="31" t="n">
        <v>4</v>
      </c>
      <c r="Y122" s="20">
        <f>SUM(K122:X122)</f>
        <v/>
      </c>
      <c r="Z122" s="33">
        <f>G122-Y122</f>
        <v/>
      </c>
      <c r="AA122" s="48">
        <f>INDEX($K$3:$X$3, MATCH(MAX(K122:X122), K122:X122, 0))</f>
        <v/>
      </c>
      <c r="AB122" s="49">
        <f>LARGE(K122:X122, 1) - LARGE(K122:X122, 2)</f>
        <v/>
      </c>
    </row>
    <row r="123" ht="19" customHeight="1">
      <c r="A123" s="34" t="n">
        <v>120</v>
      </c>
      <c r="B123" s="35" t="inlineStr">
        <is>
          <t>PRATHMIK VIDYALAYA ROOM NO. 1 ABDULLAPUR M. BEHAT</t>
        </is>
      </c>
      <c r="C123" s="36" t="n">
        <v>872</v>
      </c>
      <c r="D123" s="36" t="n">
        <v>361</v>
      </c>
      <c r="E123" s="36" t="n">
        <v>331</v>
      </c>
      <c r="F123" s="36" t="n">
        <v>0</v>
      </c>
      <c r="G123" s="36" t="n">
        <v>692</v>
      </c>
      <c r="H123" s="37">
        <f>G123/C123</f>
        <v/>
      </c>
      <c r="I123" s="36" t="n">
        <v>140</v>
      </c>
      <c r="J123" s="36" t="n">
        <v>0</v>
      </c>
      <c r="K123" s="36" t="n">
        <v>0</v>
      </c>
      <c r="L123" s="36" t="n">
        <v>137</v>
      </c>
      <c r="M123" s="36" t="n">
        <v>347</v>
      </c>
      <c r="N123" s="36" t="n">
        <v>188</v>
      </c>
      <c r="O123" s="36" t="n">
        <v>3</v>
      </c>
      <c r="P123" s="36" t="n">
        <v>2</v>
      </c>
      <c r="Q123" s="36" t="n">
        <v>1</v>
      </c>
      <c r="R123" s="36" t="n">
        <v>2</v>
      </c>
      <c r="S123" s="36" t="n">
        <v>0</v>
      </c>
      <c r="T123" s="36" t="n">
        <v>3</v>
      </c>
      <c r="U123" s="36" t="n">
        <v>0</v>
      </c>
      <c r="V123" s="36" t="n">
        <v>3</v>
      </c>
      <c r="W123" s="36" t="n">
        <v>3</v>
      </c>
      <c r="X123" s="36" t="n">
        <v>3</v>
      </c>
      <c r="Y123" s="38">
        <f>SUM(K123:X123)</f>
        <v/>
      </c>
      <c r="Z123" s="39">
        <f>G123-Y123</f>
        <v/>
      </c>
      <c r="AA123" s="50">
        <f>INDEX($K$3:$X$3, MATCH(MAX(K123:X123), K123:X123, 0))</f>
        <v/>
      </c>
      <c r="AB123" s="51">
        <f>LARGE(K123:X123, 1) - LARGE(K123:X123, 2)</f>
        <v/>
      </c>
    </row>
    <row r="124" ht="19" customHeight="1">
      <c r="A124" s="18" t="n">
        <v>121</v>
      </c>
      <c r="B124" s="19" t="inlineStr">
        <is>
          <t>PRATHMIK VIDYALAYA ROOM NO. 2 ABDULLAPUR M. BEHAT</t>
        </is>
      </c>
      <c r="C124" s="31" t="n">
        <v>798</v>
      </c>
      <c r="D124" s="31" t="n">
        <v>352</v>
      </c>
      <c r="E124" s="31" t="n">
        <v>275</v>
      </c>
      <c r="F124" s="31" t="n">
        <v>0</v>
      </c>
      <c r="G124" s="31" t="n">
        <v>627</v>
      </c>
      <c r="H124" s="32">
        <f>G124/C124</f>
        <v/>
      </c>
      <c r="I124" s="31" t="n">
        <v>250</v>
      </c>
      <c r="J124" s="31" t="n">
        <v>0</v>
      </c>
      <c r="K124" s="31" t="n">
        <v>1</v>
      </c>
      <c r="L124" s="31" t="n">
        <v>225</v>
      </c>
      <c r="M124" s="31" t="n">
        <v>184</v>
      </c>
      <c r="N124" s="31" t="n">
        <v>203</v>
      </c>
      <c r="O124" s="31" t="n">
        <v>5</v>
      </c>
      <c r="P124" s="31" t="n">
        <v>1</v>
      </c>
      <c r="Q124" s="31" t="n">
        <v>0</v>
      </c>
      <c r="R124" s="31" t="n">
        <v>1</v>
      </c>
      <c r="S124" s="31" t="n">
        <v>0</v>
      </c>
      <c r="T124" s="31" t="n">
        <v>0</v>
      </c>
      <c r="U124" s="31" t="n">
        <v>1</v>
      </c>
      <c r="V124" s="31" t="n">
        <v>1</v>
      </c>
      <c r="W124" s="31" t="n">
        <v>1</v>
      </c>
      <c r="X124" s="31" t="n">
        <v>4</v>
      </c>
      <c r="Y124" s="20">
        <f>SUM(K124:X124)</f>
        <v/>
      </c>
      <c r="Z124" s="33">
        <f>G124-Y124</f>
        <v/>
      </c>
      <c r="AA124" s="48">
        <f>INDEX($K$3:$X$3, MATCH(MAX(K124:X124), K124:X124, 0))</f>
        <v/>
      </c>
      <c r="AB124" s="49">
        <f>LARGE(K124:X124, 1) - LARGE(K124:X124, 2)</f>
        <v/>
      </c>
    </row>
    <row r="125" ht="19" customHeight="1">
      <c r="A125" s="34" t="n">
        <v>122</v>
      </c>
      <c r="B125" s="35" t="inlineStr">
        <is>
          <t>PRATHMIK VIDYALAYA ROOM NO. 1 HIRAHERI</t>
        </is>
      </c>
      <c r="C125" s="36" t="n">
        <v>349</v>
      </c>
      <c r="D125" s="36" t="n">
        <v>165</v>
      </c>
      <c r="E125" s="36" t="n">
        <v>143</v>
      </c>
      <c r="F125" s="36" t="n">
        <v>0</v>
      </c>
      <c r="G125" s="36" t="n">
        <v>308</v>
      </c>
      <c r="H125" s="37">
        <f>G125/C125</f>
        <v/>
      </c>
      <c r="I125" s="36" t="n">
        <v>0</v>
      </c>
      <c r="J125" s="36" t="n">
        <v>0</v>
      </c>
      <c r="K125" s="36" t="n">
        <v>0</v>
      </c>
      <c r="L125" s="36" t="n">
        <v>17</v>
      </c>
      <c r="M125" s="36" t="n">
        <v>171</v>
      </c>
      <c r="N125" s="36" t="n">
        <v>117</v>
      </c>
      <c r="O125" s="36" t="n">
        <v>2</v>
      </c>
      <c r="P125" s="36" t="n">
        <v>0</v>
      </c>
      <c r="Q125" s="36" t="n">
        <v>0</v>
      </c>
      <c r="R125" s="36" t="n">
        <v>0</v>
      </c>
      <c r="S125" s="36" t="n">
        <v>0</v>
      </c>
      <c r="T125" s="36" t="n">
        <v>0</v>
      </c>
      <c r="U125" s="36" t="n">
        <v>0</v>
      </c>
      <c r="V125" s="36" t="n">
        <v>0</v>
      </c>
      <c r="W125" s="36" t="n">
        <v>0</v>
      </c>
      <c r="X125" s="36" t="n">
        <v>1</v>
      </c>
      <c r="Y125" s="38">
        <f>SUM(K125:X125)</f>
        <v/>
      </c>
      <c r="Z125" s="39">
        <f>G125-Y125</f>
        <v/>
      </c>
      <c r="AA125" s="50">
        <f>INDEX($K$3:$X$3, MATCH(MAX(K125:X125), K125:X125, 0))</f>
        <v/>
      </c>
      <c r="AB125" s="51">
        <f>LARGE(K125:X125, 1) - LARGE(K125:X125, 2)</f>
        <v/>
      </c>
    </row>
    <row r="126" ht="19" customHeight="1">
      <c r="A126" s="18" t="n">
        <v>123</v>
      </c>
      <c r="B126" s="19" t="inlineStr">
        <is>
          <t>PRATHMIK VIDYALAYA ROOM NO. 1 BELKA MAFI</t>
        </is>
      </c>
      <c r="C126" s="31" t="n">
        <v>489</v>
      </c>
      <c r="D126" s="31" t="n">
        <v>223</v>
      </c>
      <c r="E126" s="31" t="n">
        <v>213</v>
      </c>
      <c r="F126" s="31" t="n">
        <v>0</v>
      </c>
      <c r="G126" s="31" t="n">
        <v>436</v>
      </c>
      <c r="H126" s="32">
        <f>G126/C126</f>
        <v/>
      </c>
      <c r="I126" s="31" t="n">
        <v>20</v>
      </c>
      <c r="J126" s="31" t="n">
        <v>0</v>
      </c>
      <c r="K126" s="31" t="n">
        <v>2</v>
      </c>
      <c r="L126" s="31" t="n">
        <v>75</v>
      </c>
      <c r="M126" s="31" t="n">
        <v>40</v>
      </c>
      <c r="N126" s="31" t="n">
        <v>293</v>
      </c>
      <c r="O126" s="31" t="n">
        <v>3</v>
      </c>
      <c r="P126" s="31" t="n">
        <v>2</v>
      </c>
      <c r="Q126" s="31" t="n">
        <v>1</v>
      </c>
      <c r="R126" s="31" t="n">
        <v>12</v>
      </c>
      <c r="S126" s="31" t="n">
        <v>0</v>
      </c>
      <c r="T126" s="31" t="n">
        <v>0</v>
      </c>
      <c r="U126" s="31" t="n">
        <v>2</v>
      </c>
      <c r="V126" s="31" t="n">
        <v>2</v>
      </c>
      <c r="W126" s="31" t="n">
        <v>3</v>
      </c>
      <c r="X126" s="31" t="n">
        <v>1</v>
      </c>
      <c r="Y126" s="20">
        <f>SUM(K126:X126)</f>
        <v/>
      </c>
      <c r="Z126" s="33">
        <f>G126-Y126</f>
        <v/>
      </c>
      <c r="AA126" s="48">
        <f>INDEX($K$3:$X$3, MATCH(MAX(K126:X126), K126:X126, 0))</f>
        <v/>
      </c>
      <c r="AB126" s="49">
        <f>LARGE(K126:X126, 1) - LARGE(K126:X126, 2)</f>
        <v/>
      </c>
    </row>
    <row r="127" ht="19" customHeight="1">
      <c r="A127" s="34" t="n">
        <v>124</v>
      </c>
      <c r="B127" s="35" t="inlineStr">
        <is>
          <t>PRATHMIK VIDYALAYA SHAHPUR NO. 2, ROOM NO. 1 HUSAIN MALAKPUR</t>
        </is>
      </c>
      <c r="C127" s="36" t="n">
        <v>1315</v>
      </c>
      <c r="D127" s="36" t="n">
        <v>481</v>
      </c>
      <c r="E127" s="36" t="n">
        <v>479</v>
      </c>
      <c r="F127" s="36" t="n">
        <v>0</v>
      </c>
      <c r="G127" s="36" t="n">
        <v>960</v>
      </c>
      <c r="H127" s="37">
        <f>G127/C127</f>
        <v/>
      </c>
      <c r="I127" s="36" t="n">
        <v>0</v>
      </c>
      <c r="J127" s="36" t="n">
        <v>0</v>
      </c>
      <c r="K127" s="36" t="n">
        <v>5</v>
      </c>
      <c r="L127" s="36" t="n">
        <v>290</v>
      </c>
      <c r="M127" s="36" t="n">
        <v>577</v>
      </c>
      <c r="N127" s="36" t="n">
        <v>42</v>
      </c>
      <c r="O127" s="36" t="n">
        <v>2</v>
      </c>
      <c r="P127" s="36" t="n">
        <v>2</v>
      </c>
      <c r="Q127" s="36" t="n">
        <v>0</v>
      </c>
      <c r="R127" s="36" t="n">
        <v>9</v>
      </c>
      <c r="S127" s="36" t="n">
        <v>3</v>
      </c>
      <c r="T127" s="36" t="n">
        <v>0</v>
      </c>
      <c r="U127" s="36" t="n">
        <v>4</v>
      </c>
      <c r="V127" s="36" t="n">
        <v>8</v>
      </c>
      <c r="W127" s="36" t="n">
        <v>8</v>
      </c>
      <c r="X127" s="36" t="n">
        <v>10</v>
      </c>
      <c r="Y127" s="38">
        <f>SUM(K127:X127)</f>
        <v/>
      </c>
      <c r="Z127" s="39">
        <f>G127-Y127</f>
        <v/>
      </c>
      <c r="AA127" s="50">
        <f>INDEX($K$3:$X$3, MATCH(MAX(K127:X127), K127:X127, 0))</f>
        <v/>
      </c>
      <c r="AB127" s="51">
        <f>LARGE(K127:X127, 1) - LARGE(K127:X127, 2)</f>
        <v/>
      </c>
    </row>
    <row r="128" ht="19" customHeight="1">
      <c r="A128" s="18" t="n">
        <v>125</v>
      </c>
      <c r="B128" s="19" t="inlineStr">
        <is>
          <t>PRATHMIK VIDYALAYA ROOM NO. 1 BEGPUR</t>
        </is>
      </c>
      <c r="C128" s="31" t="n">
        <v>755</v>
      </c>
      <c r="D128" s="31" t="n">
        <v>311</v>
      </c>
      <c r="E128" s="31" t="n">
        <v>303</v>
      </c>
      <c r="F128" s="31" t="n">
        <v>0</v>
      </c>
      <c r="G128" s="31" t="n">
        <v>614</v>
      </c>
      <c r="H128" s="32">
        <f>G128/C128</f>
        <v/>
      </c>
      <c r="I128" s="31" t="n">
        <v>1</v>
      </c>
      <c r="J128" s="31" t="n">
        <v>0</v>
      </c>
      <c r="K128" s="31" t="n">
        <v>0</v>
      </c>
      <c r="L128" s="31" t="n">
        <v>49</v>
      </c>
      <c r="M128" s="31" t="n">
        <v>362</v>
      </c>
      <c r="N128" s="31" t="n">
        <v>173</v>
      </c>
      <c r="O128" s="31" t="n">
        <v>3</v>
      </c>
      <c r="P128" s="31" t="n">
        <v>0</v>
      </c>
      <c r="Q128" s="31" t="n">
        <v>0</v>
      </c>
      <c r="R128" s="31" t="n">
        <v>0</v>
      </c>
      <c r="S128" s="31" t="n">
        <v>2</v>
      </c>
      <c r="T128" s="31" t="n">
        <v>2</v>
      </c>
      <c r="U128" s="31" t="n">
        <v>4</v>
      </c>
      <c r="V128" s="31" t="n">
        <v>8</v>
      </c>
      <c r="W128" s="31" t="n">
        <v>2</v>
      </c>
      <c r="X128" s="31" t="n">
        <v>9</v>
      </c>
      <c r="Y128" s="20">
        <f>SUM(K128:X128)</f>
        <v/>
      </c>
      <c r="Z128" s="33">
        <f>G128-Y128</f>
        <v/>
      </c>
      <c r="AA128" s="48">
        <f>INDEX($K$3:$X$3, MATCH(MAX(K128:X128), K128:X128, 0))</f>
        <v/>
      </c>
      <c r="AB128" s="49">
        <f>LARGE(K128:X128, 1) - LARGE(K128:X128, 2)</f>
        <v/>
      </c>
    </row>
    <row r="129" ht="19" customHeight="1">
      <c r="A129" s="34" t="n">
        <v>126</v>
      </c>
      <c r="B129" s="35" t="inlineStr">
        <is>
          <t>PRATHMIK VIDYALAYA ROOM NO. 2 BEGPUR</t>
        </is>
      </c>
      <c r="C129" s="36" t="n">
        <v>854</v>
      </c>
      <c r="D129" s="36" t="n">
        <v>348</v>
      </c>
      <c r="E129" s="36" t="n">
        <v>325</v>
      </c>
      <c r="F129" s="36" t="n">
        <v>0</v>
      </c>
      <c r="G129" s="36" t="n">
        <v>673</v>
      </c>
      <c r="H129" s="37">
        <f>G129/C129</f>
        <v/>
      </c>
      <c r="I129" s="36" t="n">
        <v>0</v>
      </c>
      <c r="J129" s="36" t="n">
        <v>0</v>
      </c>
      <c r="K129" s="36" t="n">
        <v>0</v>
      </c>
      <c r="L129" s="36" t="n">
        <v>136</v>
      </c>
      <c r="M129" s="36" t="n">
        <v>414</v>
      </c>
      <c r="N129" s="36" t="n">
        <v>95</v>
      </c>
      <c r="O129" s="36" t="n">
        <v>5</v>
      </c>
      <c r="P129" s="36" t="n">
        <v>2</v>
      </c>
      <c r="Q129" s="36" t="n">
        <v>3</v>
      </c>
      <c r="R129" s="36" t="n">
        <v>1</v>
      </c>
      <c r="S129" s="36" t="n">
        <v>1</v>
      </c>
      <c r="T129" s="36" t="n">
        <v>2</v>
      </c>
      <c r="U129" s="36" t="n">
        <v>3</v>
      </c>
      <c r="V129" s="36" t="n">
        <v>5</v>
      </c>
      <c r="W129" s="36" t="n">
        <v>3</v>
      </c>
      <c r="X129" s="36" t="n">
        <v>3</v>
      </c>
      <c r="Y129" s="38">
        <f>SUM(K129:X129)</f>
        <v/>
      </c>
      <c r="Z129" s="39">
        <f>G129-Y129</f>
        <v/>
      </c>
      <c r="AA129" s="50">
        <f>INDEX($K$3:$X$3, MATCH(MAX(K129:X129), K129:X129, 0))</f>
        <v/>
      </c>
      <c r="AB129" s="51">
        <f>LARGE(K129:X129, 1) - LARGE(K129:X129, 2)</f>
        <v/>
      </c>
    </row>
    <row r="130" ht="19" customHeight="1">
      <c r="A130" s="18" t="n">
        <v>127</v>
      </c>
      <c r="B130" s="19" t="inlineStr">
        <is>
          <t>PRATHMIK VIDYALAYA ROOM NO. 1 SHAHPUR</t>
        </is>
      </c>
      <c r="C130" s="31" t="n">
        <v>1441</v>
      </c>
      <c r="D130" s="31" t="n">
        <v>595</v>
      </c>
      <c r="E130" s="31" t="n">
        <v>406</v>
      </c>
      <c r="F130" s="31" t="n">
        <v>0</v>
      </c>
      <c r="G130" s="31" t="n">
        <v>1001</v>
      </c>
      <c r="H130" s="32">
        <f>G130/C130</f>
        <v/>
      </c>
      <c r="I130" s="31" t="n">
        <v>0</v>
      </c>
      <c r="J130" s="31" t="n">
        <v>0</v>
      </c>
      <c r="K130" s="31" t="n">
        <v>4</v>
      </c>
      <c r="L130" s="31" t="n">
        <v>57</v>
      </c>
      <c r="M130" s="31" t="n">
        <v>558</v>
      </c>
      <c r="N130" s="31" t="n">
        <v>329</v>
      </c>
      <c r="O130" s="31" t="n">
        <v>11</v>
      </c>
      <c r="P130" s="31" t="n">
        <v>0</v>
      </c>
      <c r="Q130" s="31" t="n">
        <v>1</v>
      </c>
      <c r="R130" s="31" t="n">
        <v>7</v>
      </c>
      <c r="S130" s="31" t="n">
        <v>1</v>
      </c>
      <c r="T130" s="31" t="n">
        <v>1</v>
      </c>
      <c r="U130" s="31" t="n">
        <v>6</v>
      </c>
      <c r="V130" s="31" t="n">
        <v>8</v>
      </c>
      <c r="W130" s="31" t="n">
        <v>4</v>
      </c>
      <c r="X130" s="31" t="n">
        <v>14</v>
      </c>
      <c r="Y130" s="20">
        <f>SUM(K130:X130)</f>
        <v/>
      </c>
      <c r="Z130" s="33">
        <f>G130-Y130</f>
        <v/>
      </c>
      <c r="AA130" s="48">
        <f>INDEX($K$3:$X$3, MATCH(MAX(K130:X130), K130:X130, 0))</f>
        <v/>
      </c>
      <c r="AB130" s="49">
        <f>LARGE(K130:X130, 1) - LARGE(K130:X130, 2)</f>
        <v/>
      </c>
    </row>
    <row r="131" ht="19" customHeight="1">
      <c r="A131" s="34" t="n">
        <v>128</v>
      </c>
      <c r="B131" s="35" t="inlineStr">
        <is>
          <t>PRATHMIK VIDYALAYA ROOM NO. 1 SHERULLAPUR URF JATOWALA</t>
        </is>
      </c>
      <c r="C131" s="36" t="n">
        <v>1330</v>
      </c>
      <c r="D131" s="36" t="n">
        <v>524</v>
      </c>
      <c r="E131" s="36" t="n">
        <v>478</v>
      </c>
      <c r="F131" s="36" t="n">
        <v>0</v>
      </c>
      <c r="G131" s="36" t="n">
        <v>1002</v>
      </c>
      <c r="H131" s="37">
        <f>G131/C131</f>
        <v/>
      </c>
      <c r="I131" s="36" t="n">
        <v>0</v>
      </c>
      <c r="J131" s="36" t="n">
        <v>0</v>
      </c>
      <c r="K131" s="36" t="n">
        <v>3</v>
      </c>
      <c r="L131" s="36" t="n">
        <v>306</v>
      </c>
      <c r="M131" s="36" t="n">
        <v>388</v>
      </c>
      <c r="N131" s="36" t="n">
        <v>259</v>
      </c>
      <c r="O131" s="36" t="n">
        <v>5</v>
      </c>
      <c r="P131" s="36" t="n">
        <v>4</v>
      </c>
      <c r="Q131" s="36" t="n">
        <v>2</v>
      </c>
      <c r="R131" s="36" t="n">
        <v>4</v>
      </c>
      <c r="S131" s="36" t="n">
        <v>2</v>
      </c>
      <c r="T131" s="36" t="n">
        <v>2</v>
      </c>
      <c r="U131" s="36" t="n">
        <v>4</v>
      </c>
      <c r="V131" s="36" t="n">
        <v>5</v>
      </c>
      <c r="W131" s="36" t="n">
        <v>9</v>
      </c>
      <c r="X131" s="36" t="n">
        <v>9</v>
      </c>
      <c r="Y131" s="38">
        <f>SUM(K131:X131)</f>
        <v/>
      </c>
      <c r="Z131" s="39">
        <f>G131-Y131</f>
        <v/>
      </c>
      <c r="AA131" s="50">
        <f>INDEX($K$3:$X$3, MATCH(MAX(K131:X131), K131:X131, 0))</f>
        <v/>
      </c>
      <c r="AB131" s="51">
        <f>LARGE(K131:X131, 1) - LARGE(K131:X131, 2)</f>
        <v/>
      </c>
    </row>
    <row r="132" ht="19" customHeight="1">
      <c r="A132" s="18" t="n">
        <v>129</v>
      </c>
      <c r="B132" s="19" t="inlineStr">
        <is>
          <t>PRATHMIK VIDYALAYA ROOM NO. 1 SHAHPUR GADA</t>
        </is>
      </c>
      <c r="C132" s="31" t="n">
        <v>1502</v>
      </c>
      <c r="D132" s="31" t="n">
        <v>674</v>
      </c>
      <c r="E132" s="31" t="n">
        <v>564</v>
      </c>
      <c r="F132" s="31" t="n">
        <v>0</v>
      </c>
      <c r="G132" s="31" t="n">
        <v>1238</v>
      </c>
      <c r="H132" s="32">
        <f>G132/C132</f>
        <v/>
      </c>
      <c r="I132" s="31" t="n">
        <v>0</v>
      </c>
      <c r="J132" s="31" t="n">
        <v>0</v>
      </c>
      <c r="K132" s="31" t="n">
        <v>11</v>
      </c>
      <c r="L132" s="31" t="n">
        <v>530</v>
      </c>
      <c r="M132" s="31" t="n">
        <v>639</v>
      </c>
      <c r="N132" s="31" t="n">
        <v>24</v>
      </c>
      <c r="O132" s="31" t="n">
        <v>6</v>
      </c>
      <c r="P132" s="31" t="n">
        <v>4</v>
      </c>
      <c r="Q132" s="31" t="n">
        <v>0</v>
      </c>
      <c r="R132" s="31" t="n">
        <v>9</v>
      </c>
      <c r="S132" s="31" t="n">
        <v>0</v>
      </c>
      <c r="T132" s="31" t="n">
        <v>3</v>
      </c>
      <c r="U132" s="31" t="n">
        <v>2</v>
      </c>
      <c r="V132" s="31" t="n">
        <v>3</v>
      </c>
      <c r="W132" s="31" t="n">
        <v>3</v>
      </c>
      <c r="X132" s="31" t="n">
        <v>4</v>
      </c>
      <c r="Y132" s="20">
        <f>SUM(K132:X132)</f>
        <v/>
      </c>
      <c r="Z132" s="33">
        <f>G132-Y132</f>
        <v/>
      </c>
      <c r="AA132" s="48">
        <f>INDEX($K$3:$X$3, MATCH(MAX(K132:X132), K132:X132, 0))</f>
        <v/>
      </c>
      <c r="AB132" s="49">
        <f>LARGE(K132:X132, 1) - LARGE(K132:X132, 2)</f>
        <v/>
      </c>
    </row>
    <row r="133" ht="19" customHeight="1">
      <c r="A133" s="34" t="n">
        <v>130</v>
      </c>
      <c r="B133" s="35" t="inlineStr">
        <is>
          <t>PURVA MADHYAMIK VIDYALAYA ROOM NO. 1 MIRZAPUR POLE</t>
        </is>
      </c>
      <c r="C133" s="36" t="n">
        <v>1157</v>
      </c>
      <c r="D133" s="36" t="n">
        <v>425</v>
      </c>
      <c r="E133" s="36" t="n">
        <v>368</v>
      </c>
      <c r="F133" s="36" t="n">
        <v>0</v>
      </c>
      <c r="G133" s="36" t="n">
        <v>793</v>
      </c>
      <c r="H133" s="37">
        <f>G133/C133</f>
        <v/>
      </c>
      <c r="I133" s="36" t="n">
        <v>7</v>
      </c>
      <c r="J133" s="36" t="n">
        <v>0</v>
      </c>
      <c r="K133" s="36" t="n">
        <v>4</v>
      </c>
      <c r="L133" s="36" t="n">
        <v>311</v>
      </c>
      <c r="M133" s="36" t="n">
        <v>371</v>
      </c>
      <c r="N133" s="36" t="n">
        <v>49</v>
      </c>
      <c r="O133" s="36" t="n">
        <v>2</v>
      </c>
      <c r="P133" s="36" t="n">
        <v>3</v>
      </c>
      <c r="Q133" s="36" t="n">
        <v>4</v>
      </c>
      <c r="R133" s="36" t="n">
        <v>5</v>
      </c>
      <c r="S133" s="36" t="n">
        <v>4</v>
      </c>
      <c r="T133" s="36" t="n">
        <v>1</v>
      </c>
      <c r="U133" s="36" t="n">
        <v>6</v>
      </c>
      <c r="V133" s="36" t="n">
        <v>10</v>
      </c>
      <c r="W133" s="36" t="n">
        <v>11</v>
      </c>
      <c r="X133" s="36" t="n">
        <v>12</v>
      </c>
      <c r="Y133" s="38">
        <f>SUM(K133:X133)</f>
        <v/>
      </c>
      <c r="Z133" s="39">
        <f>G133-Y133</f>
        <v/>
      </c>
      <c r="AA133" s="50">
        <f>INDEX($K$3:$X$3, MATCH(MAX(K133:X133), K133:X133, 0))</f>
        <v/>
      </c>
      <c r="AB133" s="51">
        <f>LARGE(K133:X133, 1) - LARGE(K133:X133, 2)</f>
        <v/>
      </c>
    </row>
    <row r="134" ht="19" customHeight="1">
      <c r="A134" s="18" t="n">
        <v>131</v>
      </c>
      <c r="B134" s="19" t="inlineStr">
        <is>
          <t>PURVA MADHYAMIK VIDYALAYA ROOM NO. 5 MIRZAPUR POLE</t>
        </is>
      </c>
      <c r="C134" s="31" t="n">
        <v>858</v>
      </c>
      <c r="D134" s="31" t="n">
        <v>312</v>
      </c>
      <c r="E134" s="31" t="n">
        <v>274</v>
      </c>
      <c r="F134" s="31" t="n">
        <v>0</v>
      </c>
      <c r="G134" s="31" t="n">
        <v>586</v>
      </c>
      <c r="H134" s="32">
        <f>G134/C134</f>
        <v/>
      </c>
      <c r="I134" s="31" t="n">
        <v>291</v>
      </c>
      <c r="J134" s="31" t="n">
        <v>0</v>
      </c>
      <c r="K134" s="31" t="n">
        <v>1</v>
      </c>
      <c r="L134" s="31" t="n">
        <v>279</v>
      </c>
      <c r="M134" s="31" t="n">
        <v>286</v>
      </c>
      <c r="N134" s="31" t="n">
        <v>3</v>
      </c>
      <c r="O134" s="31" t="n">
        <v>2</v>
      </c>
      <c r="P134" s="31" t="n">
        <v>2</v>
      </c>
      <c r="Q134" s="31" t="n">
        <v>2</v>
      </c>
      <c r="R134" s="31" t="n">
        <v>0</v>
      </c>
      <c r="S134" s="31" t="n">
        <v>0</v>
      </c>
      <c r="T134" s="31" t="n">
        <v>1</v>
      </c>
      <c r="U134" s="31" t="n">
        <v>1</v>
      </c>
      <c r="V134" s="31" t="n">
        <v>2</v>
      </c>
      <c r="W134" s="31" t="n">
        <v>4</v>
      </c>
      <c r="X134" s="31" t="n">
        <v>3</v>
      </c>
      <c r="Y134" s="20">
        <f>SUM(K134:X134)</f>
        <v/>
      </c>
      <c r="Z134" s="33">
        <f>G134-Y134</f>
        <v/>
      </c>
      <c r="AA134" s="48">
        <f>INDEX($K$3:$X$3, MATCH(MAX(K134:X134), K134:X134, 0))</f>
        <v/>
      </c>
      <c r="AB134" s="49">
        <f>LARGE(K134:X134, 1) - LARGE(K134:X134, 2)</f>
        <v/>
      </c>
    </row>
    <row r="135" ht="19" customHeight="1">
      <c r="A135" s="34" t="n">
        <v>132</v>
      </c>
      <c r="B135" s="35" t="inlineStr">
        <is>
          <t>PURVA MADHYAMIK VIDYALAYA ROOM NO. 2 MIRZAPUR POLE</t>
        </is>
      </c>
      <c r="C135" s="36" t="n">
        <v>1176</v>
      </c>
      <c r="D135" s="36" t="n">
        <v>421</v>
      </c>
      <c r="E135" s="36" t="n">
        <v>385</v>
      </c>
      <c r="F135" s="36" t="n">
        <v>0</v>
      </c>
      <c r="G135" s="36" t="n">
        <v>806</v>
      </c>
      <c r="H135" s="37">
        <f>G135/C135</f>
        <v/>
      </c>
      <c r="I135" s="36" t="n">
        <v>0</v>
      </c>
      <c r="J135" s="36" t="n">
        <v>0</v>
      </c>
      <c r="K135" s="36" t="n">
        <v>3</v>
      </c>
      <c r="L135" s="36" t="n">
        <v>339</v>
      </c>
      <c r="M135" s="36" t="n">
        <v>359</v>
      </c>
      <c r="N135" s="36" t="n">
        <v>65</v>
      </c>
      <c r="O135" s="36" t="n">
        <v>2</v>
      </c>
      <c r="P135" s="36" t="n">
        <v>3</v>
      </c>
      <c r="Q135" s="36" t="n">
        <v>4</v>
      </c>
      <c r="R135" s="36" t="n">
        <v>1</v>
      </c>
      <c r="S135" s="36" t="n">
        <v>5</v>
      </c>
      <c r="T135" s="36" t="n">
        <v>5</v>
      </c>
      <c r="U135" s="36" t="n">
        <v>2</v>
      </c>
      <c r="V135" s="36" t="n">
        <v>3</v>
      </c>
      <c r="W135" s="36" t="n">
        <v>8</v>
      </c>
      <c r="X135" s="36" t="n">
        <v>7</v>
      </c>
      <c r="Y135" s="38">
        <f>SUM(K135:X135)</f>
        <v/>
      </c>
      <c r="Z135" s="39">
        <f>G135-Y135</f>
        <v/>
      </c>
      <c r="AA135" s="50">
        <f>INDEX($K$3:$X$3, MATCH(MAX(K135:X135), K135:X135, 0))</f>
        <v/>
      </c>
      <c r="AB135" s="51">
        <f>LARGE(K135:X135, 1) - LARGE(K135:X135, 2)</f>
        <v/>
      </c>
    </row>
    <row r="136" ht="19" customHeight="1">
      <c r="A136" s="18" t="n">
        <v>133</v>
      </c>
      <c r="B136" s="19" t="inlineStr">
        <is>
          <t>PURVA MADHYAMIK VIDYALAYA ROOM NO. 6 MIRZAPUR POLE</t>
        </is>
      </c>
      <c r="C136" s="31" t="n">
        <v>693</v>
      </c>
      <c r="D136" s="31" t="n">
        <v>275</v>
      </c>
      <c r="E136" s="31" t="n">
        <v>206</v>
      </c>
      <c r="F136" s="31" t="n">
        <v>0</v>
      </c>
      <c r="G136" s="31" t="n">
        <v>481</v>
      </c>
      <c r="H136" s="32">
        <f>G136/C136</f>
        <v/>
      </c>
      <c r="I136" s="31" t="n">
        <v>0</v>
      </c>
      <c r="J136" s="31" t="n">
        <v>0</v>
      </c>
      <c r="K136" s="31" t="n">
        <v>3</v>
      </c>
      <c r="L136" s="31" t="n">
        <v>266</v>
      </c>
      <c r="M136" s="31" t="n">
        <v>193</v>
      </c>
      <c r="N136" s="31" t="n">
        <v>8</v>
      </c>
      <c r="O136" s="31" t="n">
        <v>0</v>
      </c>
      <c r="P136" s="31" t="n">
        <v>4</v>
      </c>
      <c r="Q136" s="31" t="n">
        <v>0</v>
      </c>
      <c r="R136" s="31" t="n">
        <v>0</v>
      </c>
      <c r="S136" s="31" t="n">
        <v>1</v>
      </c>
      <c r="T136" s="31" t="n">
        <v>0</v>
      </c>
      <c r="U136" s="31" t="n">
        <v>0</v>
      </c>
      <c r="V136" s="31" t="n">
        <v>0</v>
      </c>
      <c r="W136" s="31" t="n">
        <v>3</v>
      </c>
      <c r="X136" s="31" t="n">
        <v>3</v>
      </c>
      <c r="Y136" s="20">
        <f>SUM(K136:X136)</f>
        <v/>
      </c>
      <c r="Z136" s="33">
        <f>G136-Y136</f>
        <v/>
      </c>
      <c r="AA136" s="48">
        <f>INDEX($K$3:$X$3, MATCH(MAX(K136:X136), K136:X136, 0))</f>
        <v/>
      </c>
      <c r="AB136" s="49">
        <f>LARGE(K136:X136, 1) - LARGE(K136:X136, 2)</f>
        <v/>
      </c>
    </row>
    <row r="137" ht="19" customHeight="1">
      <c r="A137" s="34" t="n">
        <v>134</v>
      </c>
      <c r="B137" s="35" t="inlineStr">
        <is>
          <t>PURVA MADHYAMIK VIDYALAYA ROOM NO. 3 MIRZAPUR POLE</t>
        </is>
      </c>
      <c r="C137" s="36" t="n">
        <v>1263</v>
      </c>
      <c r="D137" s="36" t="n">
        <v>424</v>
      </c>
      <c r="E137" s="36" t="n">
        <v>361</v>
      </c>
      <c r="F137" s="36" t="n">
        <v>0</v>
      </c>
      <c r="G137" s="36" t="n">
        <v>785</v>
      </c>
      <c r="H137" s="37">
        <f>G137/C137</f>
        <v/>
      </c>
      <c r="I137" s="36" t="n">
        <v>0</v>
      </c>
      <c r="J137" s="36" t="n">
        <v>0</v>
      </c>
      <c r="K137" s="36" t="n">
        <v>7</v>
      </c>
      <c r="L137" s="36" t="n">
        <v>362</v>
      </c>
      <c r="M137" s="36" t="n">
        <v>307</v>
      </c>
      <c r="N137" s="36" t="n">
        <v>74</v>
      </c>
      <c r="O137" s="36" t="n">
        <v>2</v>
      </c>
      <c r="P137" s="36" t="n">
        <v>3</v>
      </c>
      <c r="Q137" s="36" t="n">
        <v>0</v>
      </c>
      <c r="R137" s="36" t="n">
        <v>2</v>
      </c>
      <c r="S137" s="36" t="n">
        <v>3</v>
      </c>
      <c r="T137" s="36" t="n">
        <v>1</v>
      </c>
      <c r="U137" s="36" t="n">
        <v>2</v>
      </c>
      <c r="V137" s="36" t="n">
        <v>6</v>
      </c>
      <c r="W137" s="36" t="n">
        <v>8</v>
      </c>
      <c r="X137" s="36" t="n">
        <v>8</v>
      </c>
      <c r="Y137" s="38">
        <f>SUM(K137:X137)</f>
        <v/>
      </c>
      <c r="Z137" s="39">
        <f>G137-Y137</f>
        <v/>
      </c>
      <c r="AA137" s="50">
        <f>INDEX($K$3:$X$3, MATCH(MAX(K137:X137), K137:X137, 0))</f>
        <v/>
      </c>
      <c r="AB137" s="51">
        <f>LARGE(K137:X137, 1) - LARGE(K137:X137, 2)</f>
        <v/>
      </c>
    </row>
    <row r="138" ht="19" customHeight="1">
      <c r="A138" s="18" t="n">
        <v>135</v>
      </c>
      <c r="B138" s="19" t="inlineStr">
        <is>
          <t>PURVA MADHYAMIK VIDYALAYA ROOM NO. 4 MIRZAPUR POLE</t>
        </is>
      </c>
      <c r="C138" s="31" t="n">
        <v>1281</v>
      </c>
      <c r="D138" s="31" t="n">
        <v>480</v>
      </c>
      <c r="E138" s="31" t="n">
        <v>425</v>
      </c>
      <c r="F138" s="31" t="n">
        <v>0</v>
      </c>
      <c r="G138" s="31" t="n">
        <v>905</v>
      </c>
      <c r="H138" s="32">
        <f>G138/C138</f>
        <v/>
      </c>
      <c r="I138" s="31" t="n">
        <v>0</v>
      </c>
      <c r="J138" s="31" t="n">
        <v>0</v>
      </c>
      <c r="K138" s="31" t="n">
        <v>10</v>
      </c>
      <c r="L138" s="31" t="n">
        <v>429</v>
      </c>
      <c r="M138" s="31" t="n">
        <v>386</v>
      </c>
      <c r="N138" s="31" t="n">
        <v>40</v>
      </c>
      <c r="O138" s="31" t="n">
        <v>0</v>
      </c>
      <c r="P138" s="31" t="n">
        <v>4</v>
      </c>
      <c r="Q138" s="31" t="n">
        <v>4</v>
      </c>
      <c r="R138" s="31" t="n">
        <v>5</v>
      </c>
      <c r="S138" s="31" t="n">
        <v>0</v>
      </c>
      <c r="T138" s="31" t="n">
        <v>3</v>
      </c>
      <c r="U138" s="31" t="n">
        <v>1</v>
      </c>
      <c r="V138" s="31" t="n">
        <v>5</v>
      </c>
      <c r="W138" s="31" t="n">
        <v>8</v>
      </c>
      <c r="X138" s="31" t="n">
        <v>10</v>
      </c>
      <c r="Y138" s="20">
        <f>SUM(K138:X138)</f>
        <v/>
      </c>
      <c r="Z138" s="33">
        <f>G138-Y138</f>
        <v/>
      </c>
      <c r="AA138" s="48">
        <f>INDEX($K$3:$X$3, MATCH(MAX(K138:X138), K138:X138, 0))</f>
        <v/>
      </c>
      <c r="AB138" s="49">
        <f>LARGE(K138:X138, 1) - LARGE(K138:X138, 2)</f>
        <v/>
      </c>
    </row>
    <row r="139" ht="19" customHeight="1">
      <c r="A139" s="34" t="n">
        <v>136</v>
      </c>
      <c r="B139" s="35" t="inlineStr">
        <is>
          <t>PRATHMIK VIDYALAYA ROOM NO. 1 MIRZAPUR POLE</t>
        </is>
      </c>
      <c r="C139" s="36" t="n">
        <v>987</v>
      </c>
      <c r="D139" s="36" t="n">
        <v>372</v>
      </c>
      <c r="E139" s="36" t="n">
        <v>294</v>
      </c>
      <c r="F139" s="36" t="n">
        <v>0</v>
      </c>
      <c r="G139" s="36" t="n">
        <v>666</v>
      </c>
      <c r="H139" s="37">
        <f>G139/C139</f>
        <v/>
      </c>
      <c r="I139" s="36" t="n">
        <v>0</v>
      </c>
      <c r="J139" s="36" t="n">
        <v>0</v>
      </c>
      <c r="K139" s="36" t="n">
        <v>3</v>
      </c>
      <c r="L139" s="36" t="n">
        <v>438</v>
      </c>
      <c r="M139" s="36" t="n">
        <v>157</v>
      </c>
      <c r="N139" s="36" t="n">
        <v>38</v>
      </c>
      <c r="O139" s="36" t="n">
        <v>0</v>
      </c>
      <c r="P139" s="36" t="n">
        <v>0</v>
      </c>
      <c r="Q139" s="36" t="n">
        <v>5</v>
      </c>
      <c r="R139" s="36" t="n">
        <v>5</v>
      </c>
      <c r="S139" s="36" t="n">
        <v>2</v>
      </c>
      <c r="T139" s="36" t="n">
        <v>2</v>
      </c>
      <c r="U139" s="36" t="n">
        <v>3</v>
      </c>
      <c r="V139" s="36" t="n">
        <v>2</v>
      </c>
      <c r="W139" s="36" t="n">
        <v>5</v>
      </c>
      <c r="X139" s="36" t="n">
        <v>6</v>
      </c>
      <c r="Y139" s="38">
        <f>SUM(K139:X139)</f>
        <v/>
      </c>
      <c r="Z139" s="39">
        <f>G139-Y139</f>
        <v/>
      </c>
      <c r="AA139" s="50">
        <f>INDEX($K$3:$X$3, MATCH(MAX(K139:X139), K139:X139, 0))</f>
        <v/>
      </c>
      <c r="AB139" s="51">
        <f>LARGE(K139:X139, 1) - LARGE(K139:X139, 2)</f>
        <v/>
      </c>
    </row>
    <row r="140" ht="19" customHeight="1">
      <c r="A140" s="18" t="n">
        <v>137</v>
      </c>
      <c r="B140" s="19" t="inlineStr">
        <is>
          <t>PRATHMIK VIDYALAYA ROOM NO. 2 MIRZAPUR POLE</t>
        </is>
      </c>
      <c r="C140" s="31" t="n">
        <v>1160</v>
      </c>
      <c r="D140" s="31" t="n">
        <v>392</v>
      </c>
      <c r="E140" s="31" t="n">
        <v>356</v>
      </c>
      <c r="F140" s="31" t="n">
        <v>0</v>
      </c>
      <c r="G140" s="31" t="n">
        <v>748</v>
      </c>
      <c r="H140" s="32">
        <f>G140/C140</f>
        <v/>
      </c>
      <c r="I140" s="31" t="n">
        <v>48</v>
      </c>
      <c r="J140" s="31" t="n">
        <v>0</v>
      </c>
      <c r="K140" s="31" t="n">
        <v>6</v>
      </c>
      <c r="L140" s="31" t="n">
        <v>487</v>
      </c>
      <c r="M140" s="31" t="n">
        <v>197</v>
      </c>
      <c r="N140" s="31" t="n">
        <v>17</v>
      </c>
      <c r="O140" s="31" t="n">
        <v>0</v>
      </c>
      <c r="P140" s="31" t="n">
        <v>2</v>
      </c>
      <c r="Q140" s="31" t="n">
        <v>1</v>
      </c>
      <c r="R140" s="31" t="n">
        <v>4</v>
      </c>
      <c r="S140" s="31" t="n">
        <v>1</v>
      </c>
      <c r="T140" s="31" t="n">
        <v>3</v>
      </c>
      <c r="U140" s="31" t="n">
        <v>3</v>
      </c>
      <c r="V140" s="31" t="n">
        <v>5</v>
      </c>
      <c r="W140" s="31" t="n">
        <v>13</v>
      </c>
      <c r="X140" s="31" t="n">
        <v>9</v>
      </c>
      <c r="Y140" s="20">
        <f>SUM(K140:X140)</f>
        <v/>
      </c>
      <c r="Z140" s="33">
        <f>G140-Y140</f>
        <v/>
      </c>
      <c r="AA140" s="48">
        <f>INDEX($K$3:$X$3, MATCH(MAX(K140:X140), K140:X140, 0))</f>
        <v/>
      </c>
      <c r="AB140" s="49">
        <f>LARGE(K140:X140, 1) - LARGE(K140:X140, 2)</f>
        <v/>
      </c>
    </row>
    <row r="141" ht="19" customHeight="1">
      <c r="A141" s="34" t="n">
        <v>138</v>
      </c>
      <c r="B141" s="35" t="inlineStr">
        <is>
          <t>PRATHMIK VIDYALAYA ROOM NO. 1 SHERPUR PELO</t>
        </is>
      </c>
      <c r="C141" s="36" t="n">
        <v>1028</v>
      </c>
      <c r="D141" s="36" t="n">
        <v>461</v>
      </c>
      <c r="E141" s="36" t="n">
        <v>340</v>
      </c>
      <c r="F141" s="36" t="n">
        <v>0</v>
      </c>
      <c r="G141" s="36" t="n">
        <v>801</v>
      </c>
      <c r="H141" s="37">
        <f>G141/C141</f>
        <v/>
      </c>
      <c r="I141" s="36" t="n">
        <v>25</v>
      </c>
      <c r="J141" s="36" t="n">
        <v>0</v>
      </c>
      <c r="K141" s="36" t="n">
        <v>8</v>
      </c>
      <c r="L141" s="36" t="n">
        <v>188</v>
      </c>
      <c r="M141" s="36" t="n">
        <v>287</v>
      </c>
      <c r="N141" s="36" t="n">
        <v>266</v>
      </c>
      <c r="O141" s="36" t="n">
        <v>4</v>
      </c>
      <c r="P141" s="36" t="n">
        <v>6</v>
      </c>
      <c r="Q141" s="36" t="n">
        <v>3</v>
      </c>
      <c r="R141" s="36" t="n">
        <v>1</v>
      </c>
      <c r="S141" s="36" t="n">
        <v>2</v>
      </c>
      <c r="T141" s="36" t="n">
        <v>7</v>
      </c>
      <c r="U141" s="36" t="n">
        <v>2</v>
      </c>
      <c r="V141" s="36" t="n">
        <v>4</v>
      </c>
      <c r="W141" s="36" t="n">
        <v>1</v>
      </c>
      <c r="X141" s="36" t="n">
        <v>22</v>
      </c>
      <c r="Y141" s="38">
        <f>SUM(K141:X141)</f>
        <v/>
      </c>
      <c r="Z141" s="39">
        <f>G141-Y141</f>
        <v/>
      </c>
      <c r="AA141" s="50">
        <f>INDEX($K$3:$X$3, MATCH(MAX(K141:X141), K141:X141, 0))</f>
        <v/>
      </c>
      <c r="AB141" s="51">
        <f>LARGE(K141:X141, 1) - LARGE(K141:X141, 2)</f>
        <v/>
      </c>
    </row>
    <row r="142" ht="19" customHeight="1">
      <c r="A142" s="18" t="n">
        <v>139</v>
      </c>
      <c r="B142" s="19" t="inlineStr">
        <is>
          <t>PRATHMIK VIDYALAYA ROOM NO. 2 SHERPUR PELO</t>
        </is>
      </c>
      <c r="C142" s="31" t="n">
        <v>1188</v>
      </c>
      <c r="D142" s="31" t="n">
        <v>550</v>
      </c>
      <c r="E142" s="31" t="n">
        <v>426</v>
      </c>
      <c r="F142" s="31" t="n">
        <v>0</v>
      </c>
      <c r="G142" s="31" t="n">
        <v>976</v>
      </c>
      <c r="H142" s="32">
        <f>G142/C142</f>
        <v/>
      </c>
      <c r="I142" s="31" t="n">
        <v>450</v>
      </c>
      <c r="J142" s="31" t="n">
        <v>0</v>
      </c>
      <c r="K142" s="31" t="n">
        <v>3</v>
      </c>
      <c r="L142" s="31" t="n">
        <v>317</v>
      </c>
      <c r="M142" s="31" t="n">
        <v>339</v>
      </c>
      <c r="N142" s="31" t="n">
        <v>272</v>
      </c>
      <c r="O142" s="31" t="n">
        <v>20</v>
      </c>
      <c r="P142" s="31" t="n">
        <v>5</v>
      </c>
      <c r="Q142" s="31" t="n">
        <v>1</v>
      </c>
      <c r="R142" s="31" t="n">
        <v>3</v>
      </c>
      <c r="S142" s="31" t="n">
        <v>0</v>
      </c>
      <c r="T142" s="31" t="n">
        <v>4</v>
      </c>
      <c r="U142" s="31" t="n">
        <v>2</v>
      </c>
      <c r="V142" s="31" t="n">
        <v>0</v>
      </c>
      <c r="W142" s="31" t="n">
        <v>4</v>
      </c>
      <c r="X142" s="31" t="n">
        <v>6</v>
      </c>
      <c r="Y142" s="20">
        <f>SUM(K142:X142)</f>
        <v/>
      </c>
      <c r="Z142" s="33">
        <f>G142-Y142</f>
        <v/>
      </c>
      <c r="AA142" s="48">
        <f>INDEX($K$3:$X$3, MATCH(MAX(K142:X142), K142:X142, 0))</f>
        <v/>
      </c>
      <c r="AB142" s="49">
        <f>LARGE(K142:X142, 1) - LARGE(K142:X142, 2)</f>
        <v/>
      </c>
    </row>
    <row r="143" ht="19" customHeight="1">
      <c r="A143" s="34" t="n">
        <v>140</v>
      </c>
      <c r="B143" s="35" t="inlineStr">
        <is>
          <t>PRATHMIK VIDYALAYA ROOM NO. 1 HABIBPUR URF TPOWAN</t>
        </is>
      </c>
      <c r="C143" s="36" t="n">
        <v>1007</v>
      </c>
      <c r="D143" s="36" t="n">
        <v>474</v>
      </c>
      <c r="E143" s="36" t="n">
        <v>387</v>
      </c>
      <c r="F143" s="36" t="n">
        <v>0</v>
      </c>
      <c r="G143" s="36" t="n">
        <v>861</v>
      </c>
      <c r="H143" s="37">
        <f>G143/C143</f>
        <v/>
      </c>
      <c r="I143" s="36" t="n">
        <v>0</v>
      </c>
      <c r="J143" s="36" t="n">
        <v>0</v>
      </c>
      <c r="K143" s="36" t="n">
        <v>3</v>
      </c>
      <c r="L143" s="36" t="n">
        <v>264</v>
      </c>
      <c r="M143" s="36" t="n">
        <v>515</v>
      </c>
      <c r="N143" s="36" t="n">
        <v>13</v>
      </c>
      <c r="O143" s="36" t="n">
        <v>3</v>
      </c>
      <c r="P143" s="36" t="n">
        <v>7</v>
      </c>
      <c r="Q143" s="36" t="n">
        <v>3</v>
      </c>
      <c r="R143" s="36" t="n">
        <v>11</v>
      </c>
      <c r="S143" s="36" t="n">
        <v>1</v>
      </c>
      <c r="T143" s="36" t="n">
        <v>4</v>
      </c>
      <c r="U143" s="36" t="n">
        <v>6</v>
      </c>
      <c r="V143" s="36" t="n">
        <v>8</v>
      </c>
      <c r="W143" s="36" t="n">
        <v>7</v>
      </c>
      <c r="X143" s="36" t="n">
        <v>16</v>
      </c>
      <c r="Y143" s="38">
        <f>SUM(K143:X143)</f>
        <v/>
      </c>
      <c r="Z143" s="39">
        <f>G143-Y143</f>
        <v/>
      </c>
      <c r="AA143" s="50">
        <f>INDEX($K$3:$X$3, MATCH(MAX(K143:X143), K143:X143, 0))</f>
        <v/>
      </c>
      <c r="AB143" s="51">
        <f>LARGE(K143:X143, 1) - LARGE(K143:X143, 2)</f>
        <v/>
      </c>
    </row>
    <row r="144" ht="19" customHeight="1">
      <c r="A144" s="18" t="n">
        <v>141</v>
      </c>
      <c r="B144" s="19" t="inlineStr">
        <is>
          <t>PRATHMIK VIDYALAYA ROOM NO. 1 HADERPUR URF HINDUWALA</t>
        </is>
      </c>
      <c r="C144" s="31" t="n">
        <v>361</v>
      </c>
      <c r="D144" s="31" t="n">
        <v>151</v>
      </c>
      <c r="E144" s="31" t="n">
        <v>107</v>
      </c>
      <c r="F144" s="31" t="n">
        <v>0</v>
      </c>
      <c r="G144" s="31" t="n">
        <v>258</v>
      </c>
      <c r="H144" s="32">
        <f>G144/C144</f>
        <v/>
      </c>
      <c r="I144" s="31" t="n">
        <v>109</v>
      </c>
      <c r="J144" s="31" t="n">
        <v>0</v>
      </c>
      <c r="K144" s="31" t="n">
        <v>4</v>
      </c>
      <c r="L144" s="31" t="n">
        <v>57</v>
      </c>
      <c r="M144" s="31" t="n">
        <v>156</v>
      </c>
      <c r="N144" s="31" t="n">
        <v>25</v>
      </c>
      <c r="O144" s="31" t="n">
        <v>2</v>
      </c>
      <c r="P144" s="31" t="n">
        <v>3</v>
      </c>
      <c r="Q144" s="31" t="n">
        <v>0</v>
      </c>
      <c r="R144" s="31" t="n">
        <v>3</v>
      </c>
      <c r="S144" s="31" t="n">
        <v>0</v>
      </c>
      <c r="T144" s="31" t="n">
        <v>2</v>
      </c>
      <c r="U144" s="31" t="n">
        <v>1</v>
      </c>
      <c r="V144" s="31" t="n">
        <v>1</v>
      </c>
      <c r="W144" s="31" t="n">
        <v>1</v>
      </c>
      <c r="X144" s="31" t="n">
        <v>3</v>
      </c>
      <c r="Y144" s="20">
        <f>SUM(K144:X144)</f>
        <v/>
      </c>
      <c r="Z144" s="33">
        <f>G144-Y144</f>
        <v/>
      </c>
      <c r="AA144" s="48">
        <f>INDEX($K$3:$X$3, MATCH(MAX(K144:X144), K144:X144, 0))</f>
        <v/>
      </c>
      <c r="AB144" s="49">
        <f>LARGE(K144:X144, 1) - LARGE(K144:X144, 2)</f>
        <v/>
      </c>
    </row>
    <row r="145" ht="19" customHeight="1">
      <c r="A145" s="34" t="n">
        <v>142</v>
      </c>
      <c r="B145" s="35" t="inlineStr">
        <is>
          <t>PURVA MADHYAMIK VIDYALAYA ROOM NO. 1 ALIPURA</t>
        </is>
      </c>
      <c r="C145" s="36" t="n">
        <v>775</v>
      </c>
      <c r="D145" s="36" t="n">
        <v>322</v>
      </c>
      <c r="E145" s="36" t="n">
        <v>297</v>
      </c>
      <c r="F145" s="36" t="n">
        <v>0</v>
      </c>
      <c r="G145" s="36" t="n">
        <v>619</v>
      </c>
      <c r="H145" s="37">
        <f>G145/C145</f>
        <v/>
      </c>
      <c r="I145" s="36" t="n">
        <v>192</v>
      </c>
      <c r="J145" s="36" t="n">
        <v>0</v>
      </c>
      <c r="K145" s="36" t="n">
        <v>1</v>
      </c>
      <c r="L145" s="36" t="n">
        <v>60</v>
      </c>
      <c r="M145" s="36" t="n">
        <v>100</v>
      </c>
      <c r="N145" s="36" t="n">
        <v>450</v>
      </c>
      <c r="O145" s="36" t="n">
        <v>3</v>
      </c>
      <c r="P145" s="36" t="n">
        <v>0</v>
      </c>
      <c r="Q145" s="36" t="n">
        <v>0</v>
      </c>
      <c r="R145" s="36" t="n">
        <v>1</v>
      </c>
      <c r="S145" s="36" t="n">
        <v>0</v>
      </c>
      <c r="T145" s="36" t="n">
        <v>2</v>
      </c>
      <c r="U145" s="36" t="n">
        <v>0</v>
      </c>
      <c r="V145" s="36" t="n">
        <v>0</v>
      </c>
      <c r="W145" s="36" t="n">
        <v>1</v>
      </c>
      <c r="X145" s="36" t="n">
        <v>1</v>
      </c>
      <c r="Y145" s="38">
        <f>SUM(K145:X145)</f>
        <v/>
      </c>
      <c r="Z145" s="39">
        <f>G145-Y145</f>
        <v/>
      </c>
      <c r="AA145" s="50">
        <f>INDEX($K$3:$X$3, MATCH(MAX(K145:X145), K145:X145, 0))</f>
        <v/>
      </c>
      <c r="AB145" s="51">
        <f>LARGE(K145:X145, 1) - LARGE(K145:X145, 2)</f>
        <v/>
      </c>
    </row>
    <row r="146" ht="19" customHeight="1">
      <c r="A146" s="18" t="n">
        <v>143</v>
      </c>
      <c r="B146" s="19" t="inlineStr">
        <is>
          <t>PURVA MADHYAMIK VIDYALAYA ROOM NO. 2 ALIPURA</t>
        </is>
      </c>
      <c r="C146" s="31" t="n">
        <v>815</v>
      </c>
      <c r="D146" s="31" t="n">
        <v>311</v>
      </c>
      <c r="E146" s="31" t="n">
        <v>277</v>
      </c>
      <c r="F146" s="31" t="n">
        <v>0</v>
      </c>
      <c r="G146" s="31" t="n">
        <v>588</v>
      </c>
      <c r="H146" s="32">
        <f>G146/C146</f>
        <v/>
      </c>
      <c r="I146" s="31" t="n">
        <v>12</v>
      </c>
      <c r="J146" s="31" t="n">
        <v>0</v>
      </c>
      <c r="K146" s="31" t="n">
        <v>3</v>
      </c>
      <c r="L146" s="31" t="n">
        <v>177</v>
      </c>
      <c r="M146" s="31" t="n">
        <v>290</v>
      </c>
      <c r="N146" s="31" t="n">
        <v>97</v>
      </c>
      <c r="O146" s="31" t="n">
        <v>3</v>
      </c>
      <c r="P146" s="31" t="n">
        <v>3</v>
      </c>
      <c r="Q146" s="31" t="n">
        <v>1</v>
      </c>
      <c r="R146" s="31" t="n">
        <v>3</v>
      </c>
      <c r="S146" s="31" t="n">
        <v>0</v>
      </c>
      <c r="T146" s="31" t="n">
        <v>1</v>
      </c>
      <c r="U146" s="31" t="n">
        <v>1</v>
      </c>
      <c r="V146" s="31" t="n">
        <v>3</v>
      </c>
      <c r="W146" s="31" t="n">
        <v>4</v>
      </c>
      <c r="X146" s="31" t="n">
        <v>2</v>
      </c>
      <c r="Y146" s="20">
        <f>SUM(K146:X146)</f>
        <v/>
      </c>
      <c r="Z146" s="33">
        <f>G146-Y146</f>
        <v/>
      </c>
      <c r="AA146" s="48">
        <f>INDEX($K$3:$X$3, MATCH(MAX(K146:X146), K146:X146, 0))</f>
        <v/>
      </c>
      <c r="AB146" s="49">
        <f>LARGE(K146:X146, 1) - LARGE(K146:X146, 2)</f>
        <v/>
      </c>
    </row>
    <row r="147" ht="19" customHeight="1">
      <c r="A147" s="34" t="n">
        <v>144</v>
      </c>
      <c r="B147" s="35" t="inlineStr">
        <is>
          <t>PRATHMIK VIDYALAYA ROOM NO. 1 RAJAPUR</t>
        </is>
      </c>
      <c r="C147" s="36" t="n">
        <v>831</v>
      </c>
      <c r="D147" s="36" t="n">
        <v>361</v>
      </c>
      <c r="E147" s="36" t="n">
        <v>334</v>
      </c>
      <c r="F147" s="36" t="n">
        <v>0</v>
      </c>
      <c r="G147" s="36" t="n">
        <v>695</v>
      </c>
      <c r="H147" s="37">
        <f>G147/C147</f>
        <v/>
      </c>
      <c r="I147" s="36" t="n">
        <v>292</v>
      </c>
      <c r="J147" s="36" t="n">
        <v>0</v>
      </c>
      <c r="K147" s="36" t="n">
        <v>3</v>
      </c>
      <c r="L147" s="36" t="n">
        <v>51</v>
      </c>
      <c r="M147" s="36" t="n">
        <v>375</v>
      </c>
      <c r="N147" s="36" t="n">
        <v>248</v>
      </c>
      <c r="O147" s="36" t="n">
        <v>2</v>
      </c>
      <c r="P147" s="36" t="n">
        <v>0</v>
      </c>
      <c r="Q147" s="36" t="n">
        <v>0</v>
      </c>
      <c r="R147" s="36" t="n">
        <v>4</v>
      </c>
      <c r="S147" s="36" t="n">
        <v>3</v>
      </c>
      <c r="T147" s="36" t="n">
        <v>3</v>
      </c>
      <c r="U147" s="36" t="n">
        <v>1</v>
      </c>
      <c r="V147" s="36" t="n">
        <v>1</v>
      </c>
      <c r="W147" s="36" t="n">
        <v>1</v>
      </c>
      <c r="X147" s="36" t="n">
        <v>3</v>
      </c>
      <c r="Y147" s="38">
        <f>SUM(K147:X147)</f>
        <v/>
      </c>
      <c r="Z147" s="39">
        <f>G147-Y147</f>
        <v/>
      </c>
      <c r="AA147" s="50">
        <f>INDEX($K$3:$X$3, MATCH(MAX(K147:X147), K147:X147, 0))</f>
        <v/>
      </c>
      <c r="AB147" s="51">
        <f>LARGE(K147:X147, 1) - LARGE(K147:X147, 2)</f>
        <v/>
      </c>
    </row>
    <row r="148" ht="19" customHeight="1">
      <c r="A148" s="18" t="n">
        <v>145</v>
      </c>
      <c r="B148" s="19" t="inlineStr">
        <is>
          <t>PRATHMIK VIDYALAYA ROOM NO. 2 RAJAPUR</t>
        </is>
      </c>
      <c r="C148" s="31" t="n">
        <v>810</v>
      </c>
      <c r="D148" s="31" t="n">
        <v>353</v>
      </c>
      <c r="E148" s="31" t="n">
        <v>307</v>
      </c>
      <c r="F148" s="31" t="n">
        <v>0</v>
      </c>
      <c r="G148" s="31" t="n">
        <v>660</v>
      </c>
      <c r="H148" s="32">
        <f>G148/C148</f>
        <v/>
      </c>
      <c r="I148" s="31" t="n">
        <v>165</v>
      </c>
      <c r="J148" s="31" t="n">
        <v>0</v>
      </c>
      <c r="K148" s="31" t="n">
        <v>1</v>
      </c>
      <c r="L148" s="31" t="n">
        <v>121</v>
      </c>
      <c r="M148" s="31" t="n">
        <v>240</v>
      </c>
      <c r="N148" s="31" t="n">
        <v>278</v>
      </c>
      <c r="O148" s="31" t="n">
        <v>2</v>
      </c>
      <c r="P148" s="31" t="n">
        <v>1</v>
      </c>
      <c r="Q148" s="31" t="n">
        <v>3</v>
      </c>
      <c r="R148" s="31" t="n">
        <v>1</v>
      </c>
      <c r="S148" s="31" t="n">
        <v>2</v>
      </c>
      <c r="T148" s="31" t="n">
        <v>4</v>
      </c>
      <c r="U148" s="31" t="n">
        <v>0</v>
      </c>
      <c r="V148" s="31" t="n">
        <v>1</v>
      </c>
      <c r="W148" s="31" t="n">
        <v>3</v>
      </c>
      <c r="X148" s="31" t="n">
        <v>3</v>
      </c>
      <c r="Y148" s="20">
        <f>SUM(K148:X148)</f>
        <v/>
      </c>
      <c r="Z148" s="33">
        <f>G148-Y148</f>
        <v/>
      </c>
      <c r="AA148" s="48">
        <f>INDEX($K$3:$X$3, MATCH(MAX(K148:X148), K148:X148, 0))</f>
        <v/>
      </c>
      <c r="AB148" s="49">
        <f>LARGE(K148:X148, 1) - LARGE(K148:X148, 2)</f>
        <v/>
      </c>
    </row>
    <row r="149" ht="19" customHeight="1">
      <c r="A149" s="34" t="n">
        <v>146</v>
      </c>
      <c r="B149" s="35" t="inlineStr">
        <is>
          <t>PRATHMIK VIDYALAYA ROOM NO. 1 SHAMASHPUR</t>
        </is>
      </c>
      <c r="C149" s="36" t="n">
        <v>1536</v>
      </c>
      <c r="D149" s="36" t="n">
        <v>498</v>
      </c>
      <c r="E149" s="36" t="n">
        <v>524</v>
      </c>
      <c r="F149" s="36" t="n">
        <v>0</v>
      </c>
      <c r="G149" s="36" t="n">
        <v>1022</v>
      </c>
      <c r="H149" s="37">
        <f>G149/C149</f>
        <v/>
      </c>
      <c r="I149" s="36" t="n">
        <v>225</v>
      </c>
      <c r="J149" s="36" t="n">
        <v>0</v>
      </c>
      <c r="K149" s="36" t="n">
        <v>5</v>
      </c>
      <c r="L149" s="36" t="n">
        <v>267</v>
      </c>
      <c r="M149" s="36" t="n">
        <v>497</v>
      </c>
      <c r="N149" s="36" t="n">
        <v>201</v>
      </c>
      <c r="O149" s="36" t="n">
        <v>1</v>
      </c>
      <c r="P149" s="36" t="n">
        <v>1</v>
      </c>
      <c r="Q149" s="36" t="n">
        <v>1</v>
      </c>
      <c r="R149" s="36" t="n">
        <v>6</v>
      </c>
      <c r="S149" s="36" t="n">
        <v>2</v>
      </c>
      <c r="T149" s="36" t="n">
        <v>5</v>
      </c>
      <c r="U149" s="36" t="n">
        <v>4</v>
      </c>
      <c r="V149" s="36" t="n">
        <v>5</v>
      </c>
      <c r="W149" s="36" t="n">
        <v>10</v>
      </c>
      <c r="X149" s="36" t="n">
        <v>17</v>
      </c>
      <c r="Y149" s="38">
        <f>SUM(K149:X149)</f>
        <v/>
      </c>
      <c r="Z149" s="39">
        <f>G149-Y149</f>
        <v/>
      </c>
      <c r="AA149" s="50">
        <f>INDEX($K$3:$X$3, MATCH(MAX(K149:X149), K149:X149, 0))</f>
        <v/>
      </c>
      <c r="AB149" s="51">
        <f>LARGE(K149:X149, 1) - LARGE(K149:X149, 2)</f>
        <v/>
      </c>
    </row>
    <row r="150" ht="19" customHeight="1">
      <c r="A150" s="18" t="n">
        <v>147</v>
      </c>
      <c r="B150" s="19" t="inlineStr">
        <is>
          <t>PURVA MADHYAMIK VIDYALAYA ROOM NO. 1 HASANPUR NOGAWAN</t>
        </is>
      </c>
      <c r="C150" s="31" t="n">
        <v>779</v>
      </c>
      <c r="D150" s="31" t="n">
        <v>287</v>
      </c>
      <c r="E150" s="31" t="n">
        <v>267</v>
      </c>
      <c r="F150" s="31" t="n">
        <v>0</v>
      </c>
      <c r="G150" s="31" t="n">
        <v>554</v>
      </c>
      <c r="H150" s="32">
        <f>G150/C150</f>
        <v/>
      </c>
      <c r="I150" s="31" t="n">
        <v>0</v>
      </c>
      <c r="J150" s="31" t="n">
        <v>0</v>
      </c>
      <c r="K150" s="31" t="n">
        <v>2</v>
      </c>
      <c r="L150" s="31" t="n">
        <v>92</v>
      </c>
      <c r="M150" s="31" t="n">
        <v>163</v>
      </c>
      <c r="N150" s="31" t="n">
        <v>275</v>
      </c>
      <c r="O150" s="31" t="n">
        <v>4</v>
      </c>
      <c r="P150" s="31" t="n">
        <v>1</v>
      </c>
      <c r="Q150" s="31" t="n">
        <v>1</v>
      </c>
      <c r="R150" s="31" t="n">
        <v>2</v>
      </c>
      <c r="S150" s="31" t="n">
        <v>0</v>
      </c>
      <c r="T150" s="31" t="n">
        <v>6</v>
      </c>
      <c r="U150" s="31" t="n">
        <v>4</v>
      </c>
      <c r="V150" s="31" t="n">
        <v>1</v>
      </c>
      <c r="W150" s="31" t="n">
        <v>2</v>
      </c>
      <c r="X150" s="31" t="n">
        <v>1</v>
      </c>
      <c r="Y150" s="20">
        <f>SUM(K150:X150)</f>
        <v/>
      </c>
      <c r="Z150" s="33">
        <f>G150-Y150</f>
        <v/>
      </c>
      <c r="AA150" s="48">
        <f>INDEX($K$3:$X$3, MATCH(MAX(K150:X150), K150:X150, 0))</f>
        <v/>
      </c>
      <c r="AB150" s="49">
        <f>LARGE(K150:X150, 1) - LARGE(K150:X150, 2)</f>
        <v/>
      </c>
    </row>
    <row r="151" ht="19" customHeight="1">
      <c r="A151" s="34" t="n">
        <v>148</v>
      </c>
      <c r="B151" s="35" t="inlineStr">
        <is>
          <t>PRATHMIK VIDYALAYA ROOM NO. 1 CHOUDPUR KALAN</t>
        </is>
      </c>
      <c r="C151" s="36" t="n">
        <v>1064</v>
      </c>
      <c r="D151" s="36" t="n">
        <v>418</v>
      </c>
      <c r="E151" s="36" t="n">
        <v>378</v>
      </c>
      <c r="F151" s="36" t="n">
        <v>0</v>
      </c>
      <c r="G151" s="36" t="n">
        <v>796</v>
      </c>
      <c r="H151" s="37">
        <f>G151/C151</f>
        <v/>
      </c>
      <c r="I151" s="36" t="n">
        <v>0</v>
      </c>
      <c r="J151" s="36" t="n">
        <v>0</v>
      </c>
      <c r="K151" s="36" t="n">
        <v>1</v>
      </c>
      <c r="L151" s="36" t="n">
        <v>177</v>
      </c>
      <c r="M151" s="36" t="n">
        <v>214</v>
      </c>
      <c r="N151" s="36" t="n">
        <v>356</v>
      </c>
      <c r="O151" s="36" t="n">
        <v>6</v>
      </c>
      <c r="P151" s="36" t="n">
        <v>3</v>
      </c>
      <c r="Q151" s="36" t="n">
        <v>0</v>
      </c>
      <c r="R151" s="36" t="n">
        <v>18</v>
      </c>
      <c r="S151" s="36" t="n">
        <v>0</v>
      </c>
      <c r="T151" s="36" t="n">
        <v>1</v>
      </c>
      <c r="U151" s="36" t="n">
        <v>3</v>
      </c>
      <c r="V151" s="36" t="n">
        <v>3</v>
      </c>
      <c r="W151" s="36" t="n">
        <v>6</v>
      </c>
      <c r="X151" s="36" t="n">
        <v>8</v>
      </c>
      <c r="Y151" s="38">
        <f>SUM(K151:X151)</f>
        <v/>
      </c>
      <c r="Z151" s="39">
        <f>G151-Y151</f>
        <v/>
      </c>
      <c r="AA151" s="50">
        <f>INDEX($K$3:$X$3, MATCH(MAX(K151:X151), K151:X151, 0))</f>
        <v/>
      </c>
      <c r="AB151" s="51">
        <f>LARGE(K151:X151, 1) - LARGE(K151:X151, 2)</f>
        <v/>
      </c>
    </row>
    <row r="152" ht="19" customHeight="1">
      <c r="A152" s="18" t="n">
        <v>149</v>
      </c>
      <c r="B152" s="19" t="inlineStr">
        <is>
          <t>PRATHMIK VIDYALAYA ROOM NO. 1 FATHEPUR KALAN</t>
        </is>
      </c>
      <c r="C152" s="31" t="n">
        <v>1355</v>
      </c>
      <c r="D152" s="31" t="n">
        <v>568</v>
      </c>
      <c r="E152" s="31" t="n">
        <v>492</v>
      </c>
      <c r="F152" s="31" t="n">
        <v>0</v>
      </c>
      <c r="G152" s="31" t="n">
        <v>1060</v>
      </c>
      <c r="H152" s="32">
        <f>G152/C152</f>
        <v/>
      </c>
      <c r="I152" s="31" t="n">
        <v>0</v>
      </c>
      <c r="J152" s="31" t="n">
        <v>0</v>
      </c>
      <c r="K152" s="31" t="n">
        <v>1</v>
      </c>
      <c r="L152" s="31" t="n">
        <v>248</v>
      </c>
      <c r="M152" s="31" t="n">
        <v>88</v>
      </c>
      <c r="N152" s="31" t="n">
        <v>638</v>
      </c>
      <c r="O152" s="31" t="n">
        <v>5</v>
      </c>
      <c r="P152" s="31" t="n">
        <v>1</v>
      </c>
      <c r="Q152" s="31" t="n">
        <v>1</v>
      </c>
      <c r="R152" s="31" t="n">
        <v>31</v>
      </c>
      <c r="S152" s="31" t="n">
        <v>3</v>
      </c>
      <c r="T152" s="31" t="n">
        <v>10</v>
      </c>
      <c r="U152" s="31" t="n">
        <v>6</v>
      </c>
      <c r="V152" s="31" t="n">
        <v>6</v>
      </c>
      <c r="W152" s="31" t="n">
        <v>12</v>
      </c>
      <c r="X152" s="31" t="n">
        <v>10</v>
      </c>
      <c r="Y152" s="20">
        <f>SUM(K152:X152)</f>
        <v/>
      </c>
      <c r="Z152" s="33">
        <f>G152-Y152</f>
        <v/>
      </c>
      <c r="AA152" s="48">
        <f>INDEX($K$3:$X$3, MATCH(MAX(K152:X152), K152:X152, 0))</f>
        <v/>
      </c>
      <c r="AB152" s="49">
        <f>LARGE(K152:X152, 1) - LARGE(K152:X152, 2)</f>
        <v/>
      </c>
    </row>
    <row r="153" ht="19" customHeight="1">
      <c r="A153" s="34" t="n">
        <v>150</v>
      </c>
      <c r="B153" s="35" t="inlineStr">
        <is>
          <t>PRATHMIK VIDYALAYA ROOM NO. 1 KASHIPUR NOGAWAN</t>
        </is>
      </c>
      <c r="C153" s="36" t="n">
        <v>559</v>
      </c>
      <c r="D153" s="36" t="n">
        <v>245</v>
      </c>
      <c r="E153" s="36" t="n">
        <v>216</v>
      </c>
      <c r="F153" s="36" t="n">
        <v>0</v>
      </c>
      <c r="G153" s="36" t="n">
        <v>461</v>
      </c>
      <c r="H153" s="37">
        <f>G153/C153</f>
        <v/>
      </c>
      <c r="I153" s="36" t="n">
        <v>175</v>
      </c>
      <c r="J153" s="36" t="n">
        <v>0</v>
      </c>
      <c r="K153" s="36" t="n">
        <v>2</v>
      </c>
      <c r="L153" s="36" t="n">
        <v>33</v>
      </c>
      <c r="M153" s="36" t="n">
        <v>18</v>
      </c>
      <c r="N153" s="36" t="n">
        <v>381</v>
      </c>
      <c r="O153" s="36" t="n">
        <v>6</v>
      </c>
      <c r="P153" s="36" t="n">
        <v>1</v>
      </c>
      <c r="Q153" s="36" t="n">
        <v>0</v>
      </c>
      <c r="R153" s="36" t="n">
        <v>8</v>
      </c>
      <c r="S153" s="36" t="n">
        <v>1</v>
      </c>
      <c r="T153" s="36" t="n">
        <v>5</v>
      </c>
      <c r="U153" s="36" t="n">
        <v>2</v>
      </c>
      <c r="V153" s="36" t="n">
        <v>0</v>
      </c>
      <c r="W153" s="36" t="n">
        <v>4</v>
      </c>
      <c r="X153" s="36" t="n">
        <v>0</v>
      </c>
      <c r="Y153" s="38">
        <f>SUM(K153:X153)</f>
        <v/>
      </c>
      <c r="Z153" s="39">
        <f>G153-Y153</f>
        <v/>
      </c>
      <c r="AA153" s="50">
        <f>INDEX($K$3:$X$3, MATCH(MAX(K153:X153), K153:X153, 0))</f>
        <v/>
      </c>
      <c r="AB153" s="51">
        <f>LARGE(K153:X153, 1) - LARGE(K153:X153, 2)</f>
        <v/>
      </c>
    </row>
    <row r="154" ht="19" customHeight="1">
      <c r="A154" s="18" t="n">
        <v>151</v>
      </c>
      <c r="B154" s="19" t="inlineStr">
        <is>
          <t>PRATHMIK VIDYALAYA ROOM NO. 1 BADKALA</t>
        </is>
      </c>
      <c r="C154" s="31" t="n">
        <v>932</v>
      </c>
      <c r="D154" s="31" t="n">
        <v>435</v>
      </c>
      <c r="E154" s="31" t="n">
        <v>306</v>
      </c>
      <c r="F154" s="31" t="n">
        <v>0</v>
      </c>
      <c r="G154" s="31" t="n">
        <v>741</v>
      </c>
      <c r="H154" s="32">
        <f>G154/C154</f>
        <v/>
      </c>
      <c r="I154" s="31" t="n">
        <v>0</v>
      </c>
      <c r="J154" s="31" t="n">
        <v>0</v>
      </c>
      <c r="K154" s="31" t="n">
        <v>4</v>
      </c>
      <c r="L154" s="31" t="n">
        <v>146</v>
      </c>
      <c r="M154" s="31" t="n">
        <v>70</v>
      </c>
      <c r="N154" s="31" t="n">
        <v>461</v>
      </c>
      <c r="O154" s="31" t="n">
        <v>13</v>
      </c>
      <c r="P154" s="31" t="n">
        <v>1</v>
      </c>
      <c r="Q154" s="31" t="n">
        <v>0</v>
      </c>
      <c r="R154" s="31" t="n">
        <v>19</v>
      </c>
      <c r="S154" s="31" t="n">
        <v>1</v>
      </c>
      <c r="T154" s="31" t="n">
        <v>4</v>
      </c>
      <c r="U154" s="31" t="n">
        <v>8</v>
      </c>
      <c r="V154" s="31" t="n">
        <v>1</v>
      </c>
      <c r="W154" s="31" t="n">
        <v>1</v>
      </c>
      <c r="X154" s="31" t="n">
        <v>12</v>
      </c>
      <c r="Y154" s="20">
        <f>SUM(K154:X154)</f>
        <v/>
      </c>
      <c r="Z154" s="33">
        <f>G154-Y154</f>
        <v/>
      </c>
      <c r="AA154" s="48">
        <f>INDEX($K$3:$X$3, MATCH(MAX(K154:X154), K154:X154, 0))</f>
        <v/>
      </c>
      <c r="AB154" s="49">
        <f>LARGE(K154:X154, 1) - LARGE(K154:X154, 2)</f>
        <v/>
      </c>
    </row>
    <row r="155" ht="19" customHeight="1">
      <c r="A155" s="34" t="n">
        <v>152</v>
      </c>
      <c r="B155" s="35" t="inlineStr">
        <is>
          <t>PRATHMIK VIDYALAYA ROOM NO. 1 ALIPUR URF BHAGUWALA</t>
        </is>
      </c>
      <c r="C155" s="36" t="n">
        <v>1536</v>
      </c>
      <c r="D155" s="36" t="n">
        <v>604</v>
      </c>
      <c r="E155" s="36" t="n">
        <v>554</v>
      </c>
      <c r="F155" s="36" t="n">
        <v>0</v>
      </c>
      <c r="G155" s="36" t="n">
        <v>1158</v>
      </c>
      <c r="H155" s="37">
        <f>G155/C155</f>
        <v/>
      </c>
      <c r="I155" s="36" t="n">
        <v>123</v>
      </c>
      <c r="J155" s="36" t="n">
        <v>0</v>
      </c>
      <c r="K155" s="36" t="n">
        <v>2</v>
      </c>
      <c r="L155" s="36" t="n">
        <v>33</v>
      </c>
      <c r="M155" s="36" t="n">
        <v>211</v>
      </c>
      <c r="N155" s="36" t="n">
        <v>661</v>
      </c>
      <c r="O155" s="36" t="n">
        <v>14</v>
      </c>
      <c r="P155" s="36" t="n">
        <v>8</v>
      </c>
      <c r="Q155" s="36" t="n">
        <v>6</v>
      </c>
      <c r="R155" s="36" t="n">
        <v>170</v>
      </c>
      <c r="S155" s="36" t="n">
        <v>6</v>
      </c>
      <c r="T155" s="36" t="n">
        <v>9</v>
      </c>
      <c r="U155" s="36" t="n">
        <v>5</v>
      </c>
      <c r="V155" s="36" t="n">
        <v>7</v>
      </c>
      <c r="W155" s="36" t="n">
        <v>10</v>
      </c>
      <c r="X155" s="36" t="n">
        <v>16</v>
      </c>
      <c r="Y155" s="38">
        <f>SUM(K155:X155)</f>
        <v/>
      </c>
      <c r="Z155" s="39">
        <f>G155-Y155</f>
        <v/>
      </c>
      <c r="AA155" s="50">
        <f>INDEX($K$3:$X$3, MATCH(MAX(K155:X155), K155:X155, 0))</f>
        <v/>
      </c>
      <c r="AB155" s="51">
        <f>LARGE(K155:X155, 1) - LARGE(K155:X155, 2)</f>
        <v/>
      </c>
    </row>
    <row r="156" ht="19" customHeight="1">
      <c r="A156" s="18" t="n">
        <v>153</v>
      </c>
      <c r="B156" s="19" t="inlineStr">
        <is>
          <t>PRATHMIK VIDYALAYA ROOM NO. 1 NAGAL MAFI</t>
        </is>
      </c>
      <c r="C156" s="31" t="n">
        <v>736</v>
      </c>
      <c r="D156" s="31" t="n">
        <v>312</v>
      </c>
      <c r="E156" s="31" t="n">
        <v>270</v>
      </c>
      <c r="F156" s="31" t="n">
        <v>0</v>
      </c>
      <c r="G156" s="31" t="n">
        <v>582</v>
      </c>
      <c r="H156" s="32">
        <f>G156/C156</f>
        <v/>
      </c>
      <c r="I156" s="31" t="n">
        <v>176</v>
      </c>
      <c r="J156" s="31" t="n">
        <v>0</v>
      </c>
      <c r="K156" s="31" t="n">
        <v>1</v>
      </c>
      <c r="L156" s="31" t="n">
        <v>237</v>
      </c>
      <c r="M156" s="31" t="n">
        <v>47</v>
      </c>
      <c r="N156" s="31" t="n">
        <v>167</v>
      </c>
      <c r="O156" s="31" t="n">
        <v>8</v>
      </c>
      <c r="P156" s="31" t="n">
        <v>4</v>
      </c>
      <c r="Q156" s="31" t="n">
        <v>4</v>
      </c>
      <c r="R156" s="31" t="n">
        <v>95</v>
      </c>
      <c r="S156" s="31" t="n">
        <v>4</v>
      </c>
      <c r="T156" s="31" t="n">
        <v>4</v>
      </c>
      <c r="U156" s="31" t="n">
        <v>1</v>
      </c>
      <c r="V156" s="31" t="n">
        <v>1</v>
      </c>
      <c r="W156" s="31" t="n">
        <v>3</v>
      </c>
      <c r="X156" s="31" t="n">
        <v>6</v>
      </c>
      <c r="Y156" s="20">
        <f>SUM(K156:X156)</f>
        <v/>
      </c>
      <c r="Z156" s="33">
        <f>G156-Y156</f>
        <v/>
      </c>
      <c r="AA156" s="48">
        <f>INDEX($K$3:$X$3, MATCH(MAX(K156:X156), K156:X156, 0))</f>
        <v/>
      </c>
      <c r="AB156" s="49">
        <f>LARGE(K156:X156, 1) - LARGE(K156:X156, 2)</f>
        <v/>
      </c>
    </row>
    <row r="157" ht="19" customHeight="1">
      <c r="A157" s="34" t="n">
        <v>154</v>
      </c>
      <c r="B157" s="35" t="inlineStr">
        <is>
          <t>PRATHMIK VIDYALAYA ROOM NO. 1 MIRAGPUR URF PANJUWALA</t>
        </is>
      </c>
      <c r="C157" s="36" t="n">
        <v>1280</v>
      </c>
      <c r="D157" s="36" t="n">
        <v>500</v>
      </c>
      <c r="E157" s="36" t="n">
        <v>473</v>
      </c>
      <c r="F157" s="36" t="n">
        <v>0</v>
      </c>
      <c r="G157" s="36" t="n">
        <v>973</v>
      </c>
      <c r="H157" s="37">
        <f>G157/C157</f>
        <v/>
      </c>
      <c r="I157" s="36" t="n">
        <v>0</v>
      </c>
      <c r="J157" s="36" t="n">
        <v>0</v>
      </c>
      <c r="K157" s="36" t="n">
        <v>10</v>
      </c>
      <c r="L157" s="36" t="n">
        <v>263</v>
      </c>
      <c r="M157" s="36" t="n">
        <v>38</v>
      </c>
      <c r="N157" s="36" t="n">
        <v>193</v>
      </c>
      <c r="O157" s="36" t="n">
        <v>2</v>
      </c>
      <c r="P157" s="36" t="n">
        <v>4</v>
      </c>
      <c r="Q157" s="36" t="n">
        <v>2</v>
      </c>
      <c r="R157" s="36" t="n">
        <v>441</v>
      </c>
      <c r="S157" s="36" t="n">
        <v>4</v>
      </c>
      <c r="T157" s="36" t="n">
        <v>5</v>
      </c>
      <c r="U157" s="36" t="n">
        <v>1</v>
      </c>
      <c r="V157" s="36" t="n">
        <v>2</v>
      </c>
      <c r="W157" s="36" t="n">
        <v>0</v>
      </c>
      <c r="X157" s="36" t="n">
        <v>8</v>
      </c>
      <c r="Y157" s="38">
        <f>SUM(K157:X157)</f>
        <v/>
      </c>
      <c r="Z157" s="39">
        <f>G157-Y157</f>
        <v/>
      </c>
      <c r="AA157" s="50">
        <f>INDEX($K$3:$X$3, MATCH(MAX(K157:X157), K157:X157, 0))</f>
        <v/>
      </c>
      <c r="AB157" s="51">
        <f>LARGE(K157:X157, 1) - LARGE(K157:X157, 2)</f>
        <v/>
      </c>
    </row>
    <row r="158" ht="19" customHeight="1">
      <c r="A158" s="18" t="n">
        <v>155</v>
      </c>
      <c r="B158" s="19" t="inlineStr">
        <is>
          <t>PRATHMIK VIDYALAYA ROOM NO. 1 KOTHDI NO. 2 DHRAM SINGH</t>
        </is>
      </c>
      <c r="C158" s="31" t="n">
        <v>888</v>
      </c>
      <c r="D158" s="31" t="n">
        <v>393</v>
      </c>
      <c r="E158" s="31" t="n">
        <v>325</v>
      </c>
      <c r="F158" s="31" t="n">
        <v>0</v>
      </c>
      <c r="G158" s="31" t="n">
        <v>718</v>
      </c>
      <c r="H158" s="32">
        <f>G158/C158</f>
        <v/>
      </c>
      <c r="I158" s="31" t="n">
        <v>0</v>
      </c>
      <c r="J158" s="31" t="n">
        <v>0</v>
      </c>
      <c r="K158" s="31" t="n">
        <v>1</v>
      </c>
      <c r="L158" s="31" t="n">
        <v>279</v>
      </c>
      <c r="M158" s="31" t="n">
        <v>218</v>
      </c>
      <c r="N158" s="31" t="n">
        <v>187</v>
      </c>
      <c r="O158" s="31" t="n">
        <v>0</v>
      </c>
      <c r="P158" s="31" t="n">
        <v>3</v>
      </c>
      <c r="Q158" s="31" t="n">
        <v>5</v>
      </c>
      <c r="R158" s="31" t="n">
        <v>2</v>
      </c>
      <c r="S158" s="31" t="n">
        <v>3</v>
      </c>
      <c r="T158" s="31" t="n">
        <v>4</v>
      </c>
      <c r="U158" s="31" t="n">
        <v>4</v>
      </c>
      <c r="V158" s="31" t="n">
        <v>5</v>
      </c>
      <c r="W158" s="31" t="n">
        <v>0</v>
      </c>
      <c r="X158" s="31" t="n">
        <v>7</v>
      </c>
      <c r="Y158" s="20">
        <f>SUM(K158:X158)</f>
        <v/>
      </c>
      <c r="Z158" s="33">
        <f>G158-Y158</f>
        <v/>
      </c>
      <c r="AA158" s="48">
        <f>INDEX($K$3:$X$3, MATCH(MAX(K158:X158), K158:X158, 0))</f>
        <v/>
      </c>
      <c r="AB158" s="49">
        <f>LARGE(K158:X158, 1) - LARGE(K158:X158, 2)</f>
        <v/>
      </c>
    </row>
    <row r="159" ht="19" customHeight="1">
      <c r="A159" s="34" t="n">
        <v>156</v>
      </c>
      <c r="B159" s="35" t="inlineStr">
        <is>
          <t>PRATHMIK VIDYALAYA ROOM NO. 2 KOTHDI NO. 2 DHRAM SINGH</t>
        </is>
      </c>
      <c r="C159" s="36" t="n">
        <v>667</v>
      </c>
      <c r="D159" s="36" t="n">
        <v>287</v>
      </c>
      <c r="E159" s="36" t="n">
        <v>234</v>
      </c>
      <c r="F159" s="36" t="n">
        <v>0</v>
      </c>
      <c r="G159" s="36" t="n">
        <v>521</v>
      </c>
      <c r="H159" s="37">
        <f>G159/C159</f>
        <v/>
      </c>
      <c r="I159" s="36" t="n">
        <v>67</v>
      </c>
      <c r="J159" s="36" t="n">
        <v>0</v>
      </c>
      <c r="K159" s="36" t="n">
        <v>5</v>
      </c>
      <c r="L159" s="36" t="n">
        <v>160</v>
      </c>
      <c r="M159" s="36" t="n">
        <v>286</v>
      </c>
      <c r="N159" s="36" t="n">
        <v>34</v>
      </c>
      <c r="O159" s="36" t="n">
        <v>3</v>
      </c>
      <c r="P159" s="36" t="n">
        <v>1</v>
      </c>
      <c r="Q159" s="36" t="n">
        <v>3</v>
      </c>
      <c r="R159" s="36" t="n">
        <v>6</v>
      </c>
      <c r="S159" s="36" t="n">
        <v>2</v>
      </c>
      <c r="T159" s="36" t="n">
        <v>1</v>
      </c>
      <c r="U159" s="36" t="n">
        <v>6</v>
      </c>
      <c r="V159" s="36" t="n">
        <v>5</v>
      </c>
      <c r="W159" s="36" t="n">
        <v>2</v>
      </c>
      <c r="X159" s="36" t="n">
        <v>7</v>
      </c>
      <c r="Y159" s="38">
        <f>SUM(K159:X159)</f>
        <v/>
      </c>
      <c r="Z159" s="39">
        <f>G159-Y159</f>
        <v/>
      </c>
      <c r="AA159" s="50">
        <f>INDEX($K$3:$X$3, MATCH(MAX(K159:X159), K159:X159, 0))</f>
        <v/>
      </c>
      <c r="AB159" s="51">
        <f>LARGE(K159:X159, 1) - LARGE(K159:X159, 2)</f>
        <v/>
      </c>
    </row>
    <row r="160" ht="19" customHeight="1">
      <c r="A160" s="18" t="n">
        <v>157</v>
      </c>
      <c r="B160" s="19" t="inlineStr">
        <is>
          <t>PRATHMIK VIDYALAYA ROOM NO. 3 KOTHDI NO. 2 DHRAM SINGH</t>
        </is>
      </c>
      <c r="C160" s="31" t="n">
        <v>373</v>
      </c>
      <c r="D160" s="31" t="n">
        <v>157</v>
      </c>
      <c r="E160" s="31" t="n">
        <v>123</v>
      </c>
      <c r="F160" s="31" t="n">
        <v>0</v>
      </c>
      <c r="G160" s="31" t="n">
        <v>280</v>
      </c>
      <c r="H160" s="32">
        <f>G160/C160</f>
        <v/>
      </c>
      <c r="I160" s="31" t="n">
        <v>42</v>
      </c>
      <c r="J160" s="31" t="n">
        <v>0</v>
      </c>
      <c r="K160" s="31" t="n">
        <v>3</v>
      </c>
      <c r="L160" s="31" t="n">
        <v>106</v>
      </c>
      <c r="M160" s="31" t="n">
        <v>139</v>
      </c>
      <c r="N160" s="31" t="n">
        <v>6</v>
      </c>
      <c r="O160" s="31" t="n">
        <v>4</v>
      </c>
      <c r="P160" s="31" t="n">
        <v>1</v>
      </c>
      <c r="Q160" s="31" t="n">
        <v>0</v>
      </c>
      <c r="R160" s="31" t="n">
        <v>10</v>
      </c>
      <c r="S160" s="31" t="n">
        <v>2</v>
      </c>
      <c r="T160" s="31" t="n">
        <v>0</v>
      </c>
      <c r="U160" s="31" t="n">
        <v>0</v>
      </c>
      <c r="V160" s="31" t="n">
        <v>1</v>
      </c>
      <c r="W160" s="31" t="n">
        <v>1</v>
      </c>
      <c r="X160" s="31" t="n">
        <v>7</v>
      </c>
      <c r="Y160" s="20">
        <f>SUM(K160:X160)</f>
        <v/>
      </c>
      <c r="Z160" s="33">
        <f>G160-Y160</f>
        <v/>
      </c>
      <c r="AA160" s="48">
        <f>INDEX($K$3:$X$3, MATCH(MAX(K160:X160), K160:X160, 0))</f>
        <v/>
      </c>
      <c r="AB160" s="49">
        <f>LARGE(K160:X160, 1) - LARGE(K160:X160, 2)</f>
        <v/>
      </c>
    </row>
    <row r="161" ht="19" customHeight="1">
      <c r="A161" s="34" t="n">
        <v>158</v>
      </c>
      <c r="B161" s="35" t="inlineStr">
        <is>
          <t>PRATHMIK VIDYALAYA ROOM NO. 1 KOTHDI BAHALOLPUR</t>
        </is>
      </c>
      <c r="C161" s="36" t="n">
        <v>857</v>
      </c>
      <c r="D161" s="36" t="n">
        <v>376</v>
      </c>
      <c r="E161" s="36" t="n">
        <v>325</v>
      </c>
      <c r="F161" s="36" t="n">
        <v>0</v>
      </c>
      <c r="G161" s="36" t="n">
        <v>701</v>
      </c>
      <c r="H161" s="37">
        <f>G161/C161</f>
        <v/>
      </c>
      <c r="I161" s="36" t="n">
        <v>0</v>
      </c>
      <c r="J161" s="36" t="n">
        <v>0</v>
      </c>
      <c r="K161" s="36" t="n">
        <v>1</v>
      </c>
      <c r="L161" s="36" t="n">
        <v>194</v>
      </c>
      <c r="M161" s="36" t="n">
        <v>16</v>
      </c>
      <c r="N161" s="36" t="n">
        <v>466</v>
      </c>
      <c r="O161" s="36" t="n">
        <v>5</v>
      </c>
      <c r="P161" s="36" t="n">
        <v>0</v>
      </c>
      <c r="Q161" s="36" t="n">
        <v>0</v>
      </c>
      <c r="R161" s="36" t="n">
        <v>2</v>
      </c>
      <c r="S161" s="36" t="n">
        <v>1</v>
      </c>
      <c r="T161" s="36" t="n">
        <v>2</v>
      </c>
      <c r="U161" s="36" t="n">
        <v>0</v>
      </c>
      <c r="V161" s="36" t="n">
        <v>2</v>
      </c>
      <c r="W161" s="36" t="n">
        <v>6</v>
      </c>
      <c r="X161" s="36" t="n">
        <v>6</v>
      </c>
      <c r="Y161" s="38">
        <f>SUM(K161:X161)</f>
        <v/>
      </c>
      <c r="Z161" s="39">
        <f>G161-Y161</f>
        <v/>
      </c>
      <c r="AA161" s="50">
        <f>INDEX($K$3:$X$3, MATCH(MAX(K161:X161), K161:X161, 0))</f>
        <v/>
      </c>
      <c r="AB161" s="51">
        <f>LARGE(K161:X161, 1) - LARGE(K161:X161, 2)</f>
        <v/>
      </c>
    </row>
    <row r="162" ht="19" customHeight="1">
      <c r="A162" s="18" t="n">
        <v>159</v>
      </c>
      <c r="B162" s="19" t="inlineStr">
        <is>
          <t>PRATHMIK VIDYALAYA ROOM NO. 1 JAITPUR KALAN</t>
        </is>
      </c>
      <c r="C162" s="31" t="n">
        <v>1318</v>
      </c>
      <c r="D162" s="31" t="n">
        <v>503</v>
      </c>
      <c r="E162" s="31" t="n">
        <v>418</v>
      </c>
      <c r="F162" s="31" t="n">
        <v>0</v>
      </c>
      <c r="G162" s="31" t="n">
        <v>921</v>
      </c>
      <c r="H162" s="32">
        <f>G162/C162</f>
        <v/>
      </c>
      <c r="I162" s="31" t="n">
        <v>25</v>
      </c>
      <c r="J162" s="31" t="n">
        <v>0</v>
      </c>
      <c r="K162" s="31" t="n">
        <v>1</v>
      </c>
      <c r="L162" s="31" t="n">
        <v>148</v>
      </c>
      <c r="M162" s="31" t="n">
        <v>62</v>
      </c>
      <c r="N162" s="31" t="n">
        <v>608</v>
      </c>
      <c r="O162" s="31" t="n">
        <v>8</v>
      </c>
      <c r="P162" s="31" t="n">
        <v>1</v>
      </c>
      <c r="Q162" s="31" t="n">
        <v>0</v>
      </c>
      <c r="R162" s="31" t="n">
        <v>82</v>
      </c>
      <c r="S162" s="31" t="n">
        <v>0</v>
      </c>
      <c r="T162" s="31" t="n">
        <v>3</v>
      </c>
      <c r="U162" s="31" t="n">
        <v>2</v>
      </c>
      <c r="V162" s="31" t="n">
        <v>1</v>
      </c>
      <c r="W162" s="31" t="n">
        <v>2</v>
      </c>
      <c r="X162" s="31" t="n">
        <v>3</v>
      </c>
      <c r="Y162" s="20">
        <f>SUM(K162:X162)</f>
        <v/>
      </c>
      <c r="Z162" s="33">
        <f>G162-Y162</f>
        <v/>
      </c>
      <c r="AA162" s="48">
        <f>INDEX($K$3:$X$3, MATCH(MAX(K162:X162), K162:X162, 0))</f>
        <v/>
      </c>
      <c r="AB162" s="49">
        <f>LARGE(K162:X162, 1) - LARGE(K162:X162, 2)</f>
        <v/>
      </c>
    </row>
    <row r="163" ht="19" customHeight="1">
      <c r="A163" s="34" t="n">
        <v>160</v>
      </c>
      <c r="B163" s="35" t="inlineStr">
        <is>
          <t>PRATHMIK VIDYALAYA ROOM NO. 2 JAITPUR KALAN</t>
        </is>
      </c>
      <c r="C163" s="36" t="n">
        <v>973</v>
      </c>
      <c r="D163" s="36" t="n">
        <v>394</v>
      </c>
      <c r="E163" s="36" t="n">
        <v>344</v>
      </c>
      <c r="F163" s="36" t="n">
        <v>0</v>
      </c>
      <c r="G163" s="36" t="n">
        <v>738</v>
      </c>
      <c r="H163" s="37">
        <f>G163/C163</f>
        <v/>
      </c>
      <c r="I163" s="36" t="n">
        <v>0</v>
      </c>
      <c r="J163" s="36" t="n">
        <v>0</v>
      </c>
      <c r="K163" s="36" t="n">
        <v>0</v>
      </c>
      <c r="L163" s="36" t="n">
        <v>167</v>
      </c>
      <c r="M163" s="36" t="n">
        <v>344</v>
      </c>
      <c r="N163" s="36" t="n">
        <v>159</v>
      </c>
      <c r="O163" s="36" t="n">
        <v>4</v>
      </c>
      <c r="P163" s="36" t="n">
        <v>0</v>
      </c>
      <c r="Q163" s="36" t="n">
        <v>1</v>
      </c>
      <c r="R163" s="36" t="n">
        <v>39</v>
      </c>
      <c r="S163" s="36" t="n">
        <v>2</v>
      </c>
      <c r="T163" s="36" t="n">
        <v>1</v>
      </c>
      <c r="U163" s="36" t="n">
        <v>1</v>
      </c>
      <c r="V163" s="36" t="n">
        <v>10</v>
      </c>
      <c r="W163" s="36" t="n">
        <v>6</v>
      </c>
      <c r="X163" s="36" t="n">
        <v>4</v>
      </c>
      <c r="Y163" s="38">
        <f>SUM(K163:X163)</f>
        <v/>
      </c>
      <c r="Z163" s="39">
        <f>G163-Y163</f>
        <v/>
      </c>
      <c r="AA163" s="50">
        <f>INDEX($K$3:$X$3, MATCH(MAX(K163:X163), K163:X163, 0))</f>
        <v/>
      </c>
      <c r="AB163" s="51">
        <f>LARGE(K163:X163, 1) - LARGE(K163:X163, 2)</f>
        <v/>
      </c>
    </row>
    <row r="164" ht="19" customHeight="1">
      <c r="A164" s="18" t="n">
        <v>161</v>
      </c>
      <c r="B164" s="19" t="inlineStr">
        <is>
          <t>PRATHMIK VIDYALAYA ROOM NO. 1 JAITPUR KHURD</t>
        </is>
      </c>
      <c r="C164" s="31" t="n">
        <v>882</v>
      </c>
      <c r="D164" s="31" t="n">
        <v>380</v>
      </c>
      <c r="E164" s="31" t="n">
        <v>345</v>
      </c>
      <c r="F164" s="31" t="n">
        <v>0</v>
      </c>
      <c r="G164" s="31" t="n">
        <v>725</v>
      </c>
      <c r="H164" s="32">
        <f>G164/C164</f>
        <v/>
      </c>
      <c r="I164" s="31" t="n">
        <v>10</v>
      </c>
      <c r="J164" s="31" t="n">
        <v>0</v>
      </c>
      <c r="K164" s="31" t="n">
        <v>3</v>
      </c>
      <c r="L164" s="31" t="n">
        <v>71</v>
      </c>
      <c r="M164" s="31" t="n">
        <v>353</v>
      </c>
      <c r="N164" s="31" t="n">
        <v>111</v>
      </c>
      <c r="O164" s="31" t="n">
        <v>5</v>
      </c>
      <c r="P164" s="31" t="n">
        <v>2</v>
      </c>
      <c r="Q164" s="31" t="n">
        <v>1</v>
      </c>
      <c r="R164" s="31" t="n">
        <v>168</v>
      </c>
      <c r="S164" s="31" t="n">
        <v>4</v>
      </c>
      <c r="T164" s="31" t="n">
        <v>2</v>
      </c>
      <c r="U164" s="31" t="n">
        <v>2</v>
      </c>
      <c r="V164" s="31" t="n">
        <v>1</v>
      </c>
      <c r="W164" s="31" t="n">
        <v>0</v>
      </c>
      <c r="X164" s="31" t="n">
        <v>2</v>
      </c>
      <c r="Y164" s="20">
        <f>SUM(K164:X164)</f>
        <v/>
      </c>
      <c r="Z164" s="33">
        <f>G164-Y164</f>
        <v/>
      </c>
      <c r="AA164" s="48">
        <f>INDEX($K$3:$X$3, MATCH(MAX(K164:X164), K164:X164, 0))</f>
        <v/>
      </c>
      <c r="AB164" s="49">
        <f>LARGE(K164:X164, 1) - LARGE(K164:X164, 2)</f>
        <v/>
      </c>
    </row>
    <row r="165" ht="19" customHeight="1">
      <c r="A165" s="34" t="n">
        <v>162</v>
      </c>
      <c r="B165" s="35" t="inlineStr">
        <is>
          <t>PRATHMIK VIDYALAYA ROOM NO. 2 JAITPUR KHURD</t>
        </is>
      </c>
      <c r="C165" s="36" t="n">
        <v>763</v>
      </c>
      <c r="D165" s="36" t="n">
        <v>308</v>
      </c>
      <c r="E165" s="36" t="n">
        <v>296</v>
      </c>
      <c r="F165" s="36" t="n">
        <v>0</v>
      </c>
      <c r="G165" s="36" t="n">
        <v>604</v>
      </c>
      <c r="H165" s="37">
        <f>G165/C165</f>
        <v/>
      </c>
      <c r="I165" s="36" t="n">
        <v>0</v>
      </c>
      <c r="J165" s="36" t="n">
        <v>0</v>
      </c>
      <c r="K165" s="36" t="n">
        <v>2</v>
      </c>
      <c r="L165" s="36" t="n">
        <v>101</v>
      </c>
      <c r="M165" s="36" t="n">
        <v>387</v>
      </c>
      <c r="N165" s="36" t="n">
        <v>88</v>
      </c>
      <c r="O165" s="36" t="n">
        <v>2</v>
      </c>
      <c r="P165" s="36" t="n">
        <v>1</v>
      </c>
      <c r="Q165" s="36" t="n">
        <v>0</v>
      </c>
      <c r="R165" s="36" t="n">
        <v>9</v>
      </c>
      <c r="S165" s="36" t="n">
        <v>0</v>
      </c>
      <c r="T165" s="36" t="n">
        <v>4</v>
      </c>
      <c r="U165" s="36" t="n">
        <v>1</v>
      </c>
      <c r="V165" s="36" t="n">
        <v>3</v>
      </c>
      <c r="W165" s="36" t="n">
        <v>1</v>
      </c>
      <c r="X165" s="36" t="n">
        <v>5</v>
      </c>
      <c r="Y165" s="38">
        <f>SUM(K165:X165)</f>
        <v/>
      </c>
      <c r="Z165" s="39">
        <f>G165-Y165</f>
        <v/>
      </c>
      <c r="AA165" s="50">
        <f>INDEX($K$3:$X$3, MATCH(MAX(K165:X165), K165:X165, 0))</f>
        <v/>
      </c>
      <c r="AB165" s="51">
        <f>LARGE(K165:X165, 1) - LARGE(K165:X165, 2)</f>
        <v/>
      </c>
    </row>
    <row r="166" ht="19" customHeight="1">
      <c r="A166" s="18" t="n">
        <v>163</v>
      </c>
      <c r="B166" s="19" t="inlineStr">
        <is>
          <t>PRATHMIK VIDYALAYA NO. 1 JASMOR NO. 1</t>
        </is>
      </c>
      <c r="C166" s="31" t="n">
        <v>991</v>
      </c>
      <c r="D166" s="31" t="n">
        <v>368</v>
      </c>
      <c r="E166" s="31" t="n">
        <v>337</v>
      </c>
      <c r="F166" s="31" t="n">
        <v>0</v>
      </c>
      <c r="G166" s="31" t="n">
        <v>705</v>
      </c>
      <c r="H166" s="32">
        <f>G166/C166</f>
        <v/>
      </c>
      <c r="I166" s="31" t="n">
        <v>68</v>
      </c>
      <c r="J166" s="31" t="n">
        <v>0</v>
      </c>
      <c r="K166" s="31" t="n">
        <v>0</v>
      </c>
      <c r="L166" s="31" t="n">
        <v>6</v>
      </c>
      <c r="M166" s="31" t="n">
        <v>112</v>
      </c>
      <c r="N166" s="31" t="n">
        <v>101</v>
      </c>
      <c r="O166" s="31" t="n">
        <v>0</v>
      </c>
      <c r="P166" s="31" t="n">
        <v>2</v>
      </c>
      <c r="Q166" s="31" t="n">
        <v>6</v>
      </c>
      <c r="R166" s="31" t="n">
        <v>459</v>
      </c>
      <c r="S166" s="31" t="n">
        <v>2</v>
      </c>
      <c r="T166" s="31" t="n">
        <v>11</v>
      </c>
      <c r="U166" s="31" t="n">
        <v>3</v>
      </c>
      <c r="V166" s="31" t="n">
        <v>0</v>
      </c>
      <c r="W166" s="31" t="n">
        <v>0</v>
      </c>
      <c r="X166" s="31" t="n">
        <v>3</v>
      </c>
      <c r="Y166" s="20">
        <f>SUM(K166:X166)</f>
        <v/>
      </c>
      <c r="Z166" s="33">
        <f>G166-Y166</f>
        <v/>
      </c>
      <c r="AA166" s="48">
        <f>INDEX($K$3:$X$3, MATCH(MAX(K166:X166), K166:X166, 0))</f>
        <v/>
      </c>
      <c r="AB166" s="49">
        <f>LARGE(K166:X166, 1) - LARGE(K166:X166, 2)</f>
        <v/>
      </c>
    </row>
    <row r="167" ht="19" customHeight="1">
      <c r="A167" s="34" t="n">
        <v>164</v>
      </c>
      <c r="B167" s="35" t="inlineStr">
        <is>
          <t>PRATHMIK VIDYALAYA NO. 1 JASMOR NO. 2</t>
        </is>
      </c>
      <c r="C167" s="36" t="n">
        <v>894</v>
      </c>
      <c r="D167" s="36" t="n">
        <v>357</v>
      </c>
      <c r="E167" s="36" t="n">
        <v>317</v>
      </c>
      <c r="F167" s="36" t="n">
        <v>0</v>
      </c>
      <c r="G167" s="36" t="n">
        <v>674</v>
      </c>
      <c r="H167" s="37">
        <f>G167/C167</f>
        <v/>
      </c>
      <c r="I167" s="36" t="n">
        <v>317</v>
      </c>
      <c r="J167" s="36" t="n">
        <v>0</v>
      </c>
      <c r="K167" s="36" t="n">
        <v>3</v>
      </c>
      <c r="L167" s="36" t="n">
        <v>80</v>
      </c>
      <c r="M167" s="36" t="n">
        <v>58</v>
      </c>
      <c r="N167" s="36" t="n">
        <v>49</v>
      </c>
      <c r="O167" s="36" t="n">
        <v>0</v>
      </c>
      <c r="P167" s="36" t="n">
        <v>0</v>
      </c>
      <c r="Q167" s="36" t="n">
        <v>5</v>
      </c>
      <c r="R167" s="36" t="n">
        <v>452</v>
      </c>
      <c r="S167" s="36" t="n">
        <v>2</v>
      </c>
      <c r="T167" s="36" t="n">
        <v>15</v>
      </c>
      <c r="U167" s="36" t="n">
        <v>2</v>
      </c>
      <c r="V167" s="36" t="n">
        <v>0</v>
      </c>
      <c r="W167" s="36" t="n">
        <v>4</v>
      </c>
      <c r="X167" s="36" t="n">
        <v>4</v>
      </c>
      <c r="Y167" s="38">
        <f>SUM(K167:X167)</f>
        <v/>
      </c>
      <c r="Z167" s="39">
        <f>G167-Y167</f>
        <v/>
      </c>
      <c r="AA167" s="50">
        <f>INDEX($K$3:$X$3, MATCH(MAX(K167:X167), K167:X167, 0))</f>
        <v/>
      </c>
      <c r="AB167" s="51">
        <f>LARGE(K167:X167, 1) - LARGE(K167:X167, 2)</f>
        <v/>
      </c>
    </row>
    <row r="168" ht="19" customHeight="1">
      <c r="A168" s="18" t="n">
        <v>165</v>
      </c>
      <c r="B168" s="19" t="inlineStr">
        <is>
          <t>PRATHMIK VIDYALAYA ROOM NO. 3 JASMOUR NO. 2</t>
        </is>
      </c>
      <c r="C168" s="31" t="n">
        <v>1400</v>
      </c>
      <c r="D168" s="31" t="n">
        <v>491</v>
      </c>
      <c r="E168" s="31" t="n">
        <v>475</v>
      </c>
      <c r="F168" s="31" t="n">
        <v>0</v>
      </c>
      <c r="G168" s="31" t="n">
        <v>966</v>
      </c>
      <c r="H168" s="32">
        <f>G168/C168</f>
        <v/>
      </c>
      <c r="I168" s="31" t="n">
        <v>166</v>
      </c>
      <c r="J168" s="31" t="n">
        <v>0</v>
      </c>
      <c r="K168" s="31" t="n">
        <v>4</v>
      </c>
      <c r="L168" s="31" t="n">
        <v>103</v>
      </c>
      <c r="M168" s="31" t="n">
        <v>418</v>
      </c>
      <c r="N168" s="31" t="n">
        <v>19</v>
      </c>
      <c r="O168" s="31" t="n">
        <v>0</v>
      </c>
      <c r="P168" s="31" t="n">
        <v>6</v>
      </c>
      <c r="Q168" s="31" t="n">
        <v>8</v>
      </c>
      <c r="R168" s="31" t="n">
        <v>377</v>
      </c>
      <c r="S168" s="31" t="n">
        <v>6</v>
      </c>
      <c r="T168" s="31" t="n">
        <v>8</v>
      </c>
      <c r="U168" s="31" t="n">
        <v>2</v>
      </c>
      <c r="V168" s="31" t="n">
        <v>3</v>
      </c>
      <c r="W168" s="31" t="n">
        <v>5</v>
      </c>
      <c r="X168" s="31" t="n">
        <v>7</v>
      </c>
      <c r="Y168" s="20">
        <f>SUM(K168:X168)</f>
        <v/>
      </c>
      <c r="Z168" s="33">
        <f>G168-Y168</f>
        <v/>
      </c>
      <c r="AA168" s="48">
        <f>INDEX($K$3:$X$3, MATCH(MAX(K168:X168), K168:X168, 0))</f>
        <v/>
      </c>
      <c r="AB168" s="49">
        <f>LARGE(K168:X168, 1) - LARGE(K168:X168, 2)</f>
        <v/>
      </c>
    </row>
    <row r="169" ht="19" customHeight="1">
      <c r="A169" s="34" t="n">
        <v>166</v>
      </c>
      <c r="B169" s="35" t="inlineStr">
        <is>
          <t>PURVA MADHYAMIK VIDYALAYA ROOM NO. 1 SALOONI</t>
        </is>
      </c>
      <c r="C169" s="36" t="n">
        <v>1389</v>
      </c>
      <c r="D169" s="36" t="n">
        <v>518</v>
      </c>
      <c r="E169" s="36" t="n">
        <v>427</v>
      </c>
      <c r="F169" s="36" t="n">
        <v>0</v>
      </c>
      <c r="G169" s="36" t="n">
        <v>945</v>
      </c>
      <c r="H169" s="37">
        <f>G169/C169</f>
        <v/>
      </c>
      <c r="I169" s="36" t="n">
        <v>0</v>
      </c>
      <c r="J169" s="36" t="n">
        <v>0</v>
      </c>
      <c r="K169" s="36" t="n">
        <v>2</v>
      </c>
      <c r="L169" s="36" t="n">
        <v>295</v>
      </c>
      <c r="M169" s="36" t="n">
        <v>102</v>
      </c>
      <c r="N169" s="36" t="n">
        <v>372</v>
      </c>
      <c r="O169" s="36" t="n">
        <v>9</v>
      </c>
      <c r="P169" s="36" t="n">
        <v>5</v>
      </c>
      <c r="Q169" s="36" t="n">
        <v>5</v>
      </c>
      <c r="R169" s="36" t="n">
        <v>62</v>
      </c>
      <c r="S169" s="36" t="n">
        <v>1</v>
      </c>
      <c r="T169" s="36" t="n">
        <v>79</v>
      </c>
      <c r="U169" s="36" t="n">
        <v>4</v>
      </c>
      <c r="V169" s="36" t="n">
        <v>3</v>
      </c>
      <c r="W169" s="36" t="n">
        <v>2</v>
      </c>
      <c r="X169" s="36" t="n">
        <v>4</v>
      </c>
      <c r="Y169" s="38">
        <f>SUM(K169:X169)</f>
        <v/>
      </c>
      <c r="Z169" s="39">
        <f>G169-Y169</f>
        <v/>
      </c>
      <c r="AA169" s="50">
        <f>INDEX($K$3:$X$3, MATCH(MAX(K169:X169), K169:X169, 0))</f>
        <v/>
      </c>
      <c r="AB169" s="51">
        <f>LARGE(K169:X169, 1) - LARGE(K169:X169, 2)</f>
        <v/>
      </c>
    </row>
    <row r="170" ht="19" customHeight="1">
      <c r="A170" s="18" t="n">
        <v>167</v>
      </c>
      <c r="B170" s="19" t="inlineStr">
        <is>
          <t>PRATHMIK VIDYALAYA ROOM NO. 1 RAIPUR KALAN</t>
        </is>
      </c>
      <c r="C170" s="31" t="n">
        <v>1262</v>
      </c>
      <c r="D170" s="31" t="n">
        <v>472</v>
      </c>
      <c r="E170" s="31" t="n">
        <v>447</v>
      </c>
      <c r="F170" s="31" t="n">
        <v>0</v>
      </c>
      <c r="G170" s="31" t="n">
        <v>919</v>
      </c>
      <c r="H170" s="32">
        <f>G170/C170</f>
        <v/>
      </c>
      <c r="I170" s="31" t="n">
        <v>3</v>
      </c>
      <c r="J170" s="31" t="n">
        <v>0</v>
      </c>
      <c r="K170" s="31" t="n">
        <v>3</v>
      </c>
      <c r="L170" s="31" t="n">
        <v>356</v>
      </c>
      <c r="M170" s="31" t="n">
        <v>391</v>
      </c>
      <c r="N170" s="31" t="n">
        <v>110</v>
      </c>
      <c r="O170" s="31" t="n">
        <v>4</v>
      </c>
      <c r="P170" s="31" t="n">
        <v>6</v>
      </c>
      <c r="Q170" s="31" t="n">
        <v>3</v>
      </c>
      <c r="R170" s="31" t="n">
        <v>5</v>
      </c>
      <c r="S170" s="31" t="n">
        <v>2</v>
      </c>
      <c r="T170" s="31" t="n">
        <v>3</v>
      </c>
      <c r="U170" s="31" t="n">
        <v>0</v>
      </c>
      <c r="V170" s="31" t="n">
        <v>11</v>
      </c>
      <c r="W170" s="31" t="n">
        <v>14</v>
      </c>
      <c r="X170" s="31" t="n">
        <v>11</v>
      </c>
      <c r="Y170" s="20">
        <f>SUM(K170:X170)</f>
        <v/>
      </c>
      <c r="Z170" s="33">
        <f>G170-Y170</f>
        <v/>
      </c>
      <c r="AA170" s="48">
        <f>INDEX($K$3:$X$3, MATCH(MAX(K170:X170), K170:X170, 0))</f>
        <v/>
      </c>
      <c r="AB170" s="49">
        <f>LARGE(K170:X170, 1) - LARGE(K170:X170, 2)</f>
        <v/>
      </c>
    </row>
    <row r="171" ht="19" customHeight="1">
      <c r="A171" s="34" t="n">
        <v>168</v>
      </c>
      <c r="B171" s="35" t="inlineStr">
        <is>
          <t>PRATHMIK VIDYALAYA ROOM NO. 1 PATHRWA</t>
        </is>
      </c>
      <c r="C171" s="36" t="n">
        <v>1109</v>
      </c>
      <c r="D171" s="36" t="n">
        <v>462</v>
      </c>
      <c r="E171" s="36" t="n">
        <v>457</v>
      </c>
      <c r="F171" s="36" t="n">
        <v>0</v>
      </c>
      <c r="G171" s="36" t="n">
        <v>919</v>
      </c>
      <c r="H171" s="37">
        <f>G171/C171</f>
        <v/>
      </c>
      <c r="I171" s="36" t="n">
        <v>0</v>
      </c>
      <c r="J171" s="36" t="n">
        <v>0</v>
      </c>
      <c r="K171" s="36" t="n">
        <v>2</v>
      </c>
      <c r="L171" s="36" t="n">
        <v>192</v>
      </c>
      <c r="M171" s="36" t="n">
        <v>325</v>
      </c>
      <c r="N171" s="36" t="n">
        <v>373</v>
      </c>
      <c r="O171" s="36" t="n">
        <v>6</v>
      </c>
      <c r="P171" s="36" t="n">
        <v>0</v>
      </c>
      <c r="Q171" s="36" t="n">
        <v>1</v>
      </c>
      <c r="R171" s="36" t="n">
        <v>5</v>
      </c>
      <c r="S171" s="36" t="n">
        <v>0</v>
      </c>
      <c r="T171" s="36" t="n">
        <v>0</v>
      </c>
      <c r="U171" s="36" t="n">
        <v>2</v>
      </c>
      <c r="V171" s="36" t="n">
        <v>5</v>
      </c>
      <c r="W171" s="36" t="n">
        <v>5</v>
      </c>
      <c r="X171" s="36" t="n">
        <v>3</v>
      </c>
      <c r="Y171" s="38">
        <f>SUM(K171:X171)</f>
        <v/>
      </c>
      <c r="Z171" s="39">
        <f>G171-Y171</f>
        <v/>
      </c>
      <c r="AA171" s="50">
        <f>INDEX($K$3:$X$3, MATCH(MAX(K171:X171), K171:X171, 0))</f>
        <v/>
      </c>
      <c r="AB171" s="51">
        <f>LARGE(K171:X171, 1) - LARGE(K171:X171, 2)</f>
        <v/>
      </c>
    </row>
    <row r="172" ht="19" customHeight="1">
      <c r="A172" s="18" t="n">
        <v>169</v>
      </c>
      <c r="B172" s="19" t="inlineStr">
        <is>
          <t>PRATHMIK VIDYALAYA ROOM NO. PATHRWA</t>
        </is>
      </c>
      <c r="C172" s="31" t="n">
        <v>753</v>
      </c>
      <c r="D172" s="31" t="n">
        <v>317</v>
      </c>
      <c r="E172" s="31" t="n">
        <v>279</v>
      </c>
      <c r="F172" s="31" t="n">
        <v>0</v>
      </c>
      <c r="G172" s="31" t="n">
        <v>596</v>
      </c>
      <c r="H172" s="32">
        <f>G172/C172</f>
        <v/>
      </c>
      <c r="I172" s="31" t="n">
        <v>57</v>
      </c>
      <c r="J172" s="31" t="n">
        <v>0</v>
      </c>
      <c r="K172" s="31" t="n">
        <v>0</v>
      </c>
      <c r="L172" s="31" t="n">
        <v>119</v>
      </c>
      <c r="M172" s="31" t="n">
        <v>431</v>
      </c>
      <c r="N172" s="31" t="n">
        <v>32</v>
      </c>
      <c r="O172" s="31" t="n">
        <v>1</v>
      </c>
      <c r="P172" s="31" t="n">
        <v>1</v>
      </c>
      <c r="Q172" s="31" t="n">
        <v>1</v>
      </c>
      <c r="R172" s="31" t="n">
        <v>0</v>
      </c>
      <c r="S172" s="31" t="n">
        <v>0</v>
      </c>
      <c r="T172" s="31" t="n">
        <v>0</v>
      </c>
      <c r="U172" s="31" t="n">
        <v>0</v>
      </c>
      <c r="V172" s="31" t="n">
        <v>2</v>
      </c>
      <c r="W172" s="31" t="n">
        <v>3</v>
      </c>
      <c r="X172" s="31" t="n">
        <v>6</v>
      </c>
      <c r="Y172" s="20">
        <f>SUM(K172:X172)</f>
        <v/>
      </c>
      <c r="Z172" s="33">
        <f>G172-Y172</f>
        <v/>
      </c>
      <c r="AA172" s="48">
        <f>INDEX($K$3:$X$3, MATCH(MAX(K172:X172), K172:X172, 0))</f>
        <v/>
      </c>
      <c r="AB172" s="49">
        <f>LARGE(K172:X172, 1) - LARGE(K172:X172, 2)</f>
        <v/>
      </c>
    </row>
    <row r="173" ht="19" customHeight="1">
      <c r="A173" s="34" t="n">
        <v>170</v>
      </c>
      <c r="B173" s="35" t="inlineStr">
        <is>
          <t>PRATHMIK VIDYALAYA ROOM NO. 1 PAJRANA</t>
        </is>
      </c>
      <c r="C173" s="36" t="n">
        <v>613</v>
      </c>
      <c r="D173" s="36" t="n">
        <v>236</v>
      </c>
      <c r="E173" s="36" t="n">
        <v>254</v>
      </c>
      <c r="F173" s="36" t="n">
        <v>0</v>
      </c>
      <c r="G173" s="36" t="n">
        <v>490</v>
      </c>
      <c r="H173" s="37">
        <f>G173/C173</f>
        <v/>
      </c>
      <c r="I173" s="36" t="n">
        <v>0</v>
      </c>
      <c r="J173" s="36" t="n">
        <v>0</v>
      </c>
      <c r="K173" s="36" t="n">
        <v>2</v>
      </c>
      <c r="L173" s="36" t="n">
        <v>187</v>
      </c>
      <c r="M173" s="36" t="n">
        <v>233</v>
      </c>
      <c r="N173" s="36" t="n">
        <v>36</v>
      </c>
      <c r="O173" s="36" t="n">
        <v>0</v>
      </c>
      <c r="P173" s="36" t="n">
        <v>0</v>
      </c>
      <c r="Q173" s="36" t="n">
        <v>0</v>
      </c>
      <c r="R173" s="36" t="n">
        <v>25</v>
      </c>
      <c r="S173" s="36" t="n">
        <v>3</v>
      </c>
      <c r="T173" s="36" t="n">
        <v>0</v>
      </c>
      <c r="U173" s="36" t="n">
        <v>0</v>
      </c>
      <c r="V173" s="36" t="n">
        <v>1</v>
      </c>
      <c r="W173" s="36" t="n">
        <v>2</v>
      </c>
      <c r="X173" s="36" t="n">
        <v>1</v>
      </c>
      <c r="Y173" s="38">
        <f>SUM(K173:X173)</f>
        <v/>
      </c>
      <c r="Z173" s="39">
        <f>G173-Y173</f>
        <v/>
      </c>
      <c r="AA173" s="50">
        <f>INDEX($K$3:$X$3, MATCH(MAX(K173:X173), K173:X173, 0))</f>
        <v/>
      </c>
      <c r="AB173" s="51">
        <f>LARGE(K173:X173, 1) - LARGE(K173:X173, 2)</f>
        <v/>
      </c>
    </row>
    <row r="174" ht="19" customHeight="1">
      <c r="A174" s="18" t="n">
        <v>171</v>
      </c>
      <c r="B174" s="19" t="inlineStr">
        <is>
          <t>PRATHMIK VIDYALAYA ROOM NO. 1 MANJHIPUR</t>
        </is>
      </c>
      <c r="C174" s="31" t="n">
        <v>1200</v>
      </c>
      <c r="D174" s="31" t="n">
        <v>441</v>
      </c>
      <c r="E174" s="31" t="n">
        <v>424</v>
      </c>
      <c r="F174" s="31" t="n">
        <v>0</v>
      </c>
      <c r="G174" s="31" t="n">
        <v>865</v>
      </c>
      <c r="H174" s="32">
        <f>G174/C174</f>
        <v/>
      </c>
      <c r="I174" s="31" t="n">
        <v>277</v>
      </c>
      <c r="J174" s="31" t="n">
        <v>0</v>
      </c>
      <c r="K174" s="31" t="n">
        <v>1</v>
      </c>
      <c r="L174" s="31" t="n">
        <v>368</v>
      </c>
      <c r="M174" s="31" t="n">
        <v>401</v>
      </c>
      <c r="N174" s="31" t="n">
        <v>75</v>
      </c>
      <c r="O174" s="31" t="n">
        <v>1</v>
      </c>
      <c r="P174" s="31" t="n">
        <v>1</v>
      </c>
      <c r="Q174" s="31" t="n">
        <v>0</v>
      </c>
      <c r="R174" s="31" t="n">
        <v>0</v>
      </c>
      <c r="S174" s="31" t="n">
        <v>0</v>
      </c>
      <c r="T174" s="31" t="n">
        <v>0</v>
      </c>
      <c r="U174" s="31" t="n">
        <v>1</v>
      </c>
      <c r="V174" s="31" t="n">
        <v>7</v>
      </c>
      <c r="W174" s="31" t="n">
        <v>6</v>
      </c>
      <c r="X174" s="31" t="n">
        <v>4</v>
      </c>
      <c r="Y174" s="20">
        <f>SUM(K174:X174)</f>
        <v/>
      </c>
      <c r="Z174" s="33">
        <f>G174-Y174</f>
        <v/>
      </c>
      <c r="AA174" s="48">
        <f>INDEX($K$3:$X$3, MATCH(MAX(K174:X174), K174:X174, 0))</f>
        <v/>
      </c>
      <c r="AB174" s="49">
        <f>LARGE(K174:X174, 1) - LARGE(K174:X174, 2)</f>
        <v/>
      </c>
    </row>
    <row r="175" ht="19" customHeight="1">
      <c r="A175" s="34" t="n">
        <v>172</v>
      </c>
      <c r="B175" s="35" t="inlineStr">
        <is>
          <t>PRATHMIK VIDYALAYA ROOM NO. 2 MANJHIPUR</t>
        </is>
      </c>
      <c r="C175" s="36" t="n">
        <v>912</v>
      </c>
      <c r="D175" s="36" t="n">
        <v>399</v>
      </c>
      <c r="E175" s="36" t="n">
        <v>350</v>
      </c>
      <c r="F175" s="36" t="n">
        <v>0</v>
      </c>
      <c r="G175" s="36" t="n">
        <v>749</v>
      </c>
      <c r="H175" s="37">
        <f>G175/C175</f>
        <v/>
      </c>
      <c r="I175" s="36" t="n">
        <v>99</v>
      </c>
      <c r="J175" s="36" t="n">
        <v>0</v>
      </c>
      <c r="K175" s="36" t="n">
        <v>1</v>
      </c>
      <c r="L175" s="36" t="n">
        <v>5</v>
      </c>
      <c r="M175" s="36" t="n">
        <v>303</v>
      </c>
      <c r="N175" s="36" t="n">
        <v>429</v>
      </c>
      <c r="O175" s="36" t="n">
        <v>3</v>
      </c>
      <c r="P175" s="36" t="n">
        <v>2</v>
      </c>
      <c r="Q175" s="36" t="n">
        <v>1</v>
      </c>
      <c r="R175" s="36" t="n">
        <v>0</v>
      </c>
      <c r="S175" s="36" t="n">
        <v>0</v>
      </c>
      <c r="T175" s="36" t="n">
        <v>1</v>
      </c>
      <c r="U175" s="36" t="n">
        <v>3</v>
      </c>
      <c r="V175" s="36" t="n">
        <v>0</v>
      </c>
      <c r="W175" s="36" t="n">
        <v>1</v>
      </c>
      <c r="X175" s="36" t="n">
        <v>0</v>
      </c>
      <c r="Y175" s="38">
        <f>SUM(K175:X175)</f>
        <v/>
      </c>
      <c r="Z175" s="39">
        <f>G175-Y175</f>
        <v/>
      </c>
      <c r="AA175" s="50">
        <f>INDEX($K$3:$X$3, MATCH(MAX(K175:X175), K175:X175, 0))</f>
        <v/>
      </c>
      <c r="AB175" s="51">
        <f>LARGE(K175:X175, 1) - LARGE(K175:X175, 2)</f>
        <v/>
      </c>
    </row>
    <row r="176" ht="19" customHeight="1">
      <c r="A176" s="18" t="n">
        <v>173</v>
      </c>
      <c r="B176" s="19" t="inlineStr">
        <is>
          <t>PRATHMIK VIDYALAYA ROOM NO. 1 DAYALPUR</t>
        </is>
      </c>
      <c r="C176" s="31" t="n">
        <v>1000</v>
      </c>
      <c r="D176" s="31" t="n">
        <v>428</v>
      </c>
      <c r="E176" s="31" t="n">
        <v>384</v>
      </c>
      <c r="F176" s="31" t="n">
        <v>0</v>
      </c>
      <c r="G176" s="31" t="n">
        <v>812</v>
      </c>
      <c r="H176" s="32">
        <f>G176/C176</f>
        <v/>
      </c>
      <c r="I176" s="31" t="n">
        <v>100</v>
      </c>
      <c r="J176" s="31" t="n">
        <v>0</v>
      </c>
      <c r="K176" s="31" t="n">
        <v>1</v>
      </c>
      <c r="L176" s="31" t="n">
        <v>304</v>
      </c>
      <c r="M176" s="31" t="n">
        <v>350</v>
      </c>
      <c r="N176" s="31" t="n">
        <v>131</v>
      </c>
      <c r="O176" s="31" t="n">
        <v>4</v>
      </c>
      <c r="P176" s="31" t="n">
        <v>4</v>
      </c>
      <c r="Q176" s="31" t="n">
        <v>1</v>
      </c>
      <c r="R176" s="31" t="n">
        <v>6</v>
      </c>
      <c r="S176" s="31" t="n">
        <v>1</v>
      </c>
      <c r="T176" s="31" t="n">
        <v>0</v>
      </c>
      <c r="U176" s="31" t="n">
        <v>0</v>
      </c>
      <c r="V176" s="31" t="n">
        <v>1</v>
      </c>
      <c r="W176" s="31" t="n">
        <v>5</v>
      </c>
      <c r="X176" s="31" t="n">
        <v>4</v>
      </c>
      <c r="Y176" s="20">
        <f>SUM(K176:X176)</f>
        <v/>
      </c>
      <c r="Z176" s="33">
        <f>G176-Y176</f>
        <v/>
      </c>
      <c r="AA176" s="48">
        <f>INDEX($K$3:$X$3, MATCH(MAX(K176:X176), K176:X176, 0))</f>
        <v/>
      </c>
      <c r="AB176" s="49">
        <f>LARGE(K176:X176, 1) - LARGE(K176:X176, 2)</f>
        <v/>
      </c>
    </row>
    <row r="177" ht="19" customHeight="1">
      <c r="A177" s="34" t="n">
        <v>174</v>
      </c>
      <c r="B177" s="35" t="inlineStr">
        <is>
          <t>PRATHMIK VIDYALAYA ROOM NO. 2 DAYALPUR</t>
        </is>
      </c>
      <c r="C177" s="36" t="n">
        <v>889</v>
      </c>
      <c r="D177" s="36" t="n">
        <v>351</v>
      </c>
      <c r="E177" s="36" t="n">
        <v>334</v>
      </c>
      <c r="F177" s="36" t="n">
        <v>0</v>
      </c>
      <c r="G177" s="36" t="n">
        <v>685</v>
      </c>
      <c r="H177" s="37">
        <f>G177/C177</f>
        <v/>
      </c>
      <c r="I177" s="36" t="n">
        <v>148</v>
      </c>
      <c r="J177" s="36" t="n">
        <v>0</v>
      </c>
      <c r="K177" s="36" t="n">
        <v>3</v>
      </c>
      <c r="L177" s="36" t="n">
        <v>54</v>
      </c>
      <c r="M177" s="36" t="n">
        <v>352</v>
      </c>
      <c r="N177" s="36" t="n">
        <v>253</v>
      </c>
      <c r="O177" s="36" t="n">
        <v>5</v>
      </c>
      <c r="P177" s="36" t="n">
        <v>1</v>
      </c>
      <c r="Q177" s="36" t="n">
        <v>2</v>
      </c>
      <c r="R177" s="36" t="n">
        <v>4</v>
      </c>
      <c r="S177" s="36" t="n">
        <v>1</v>
      </c>
      <c r="T177" s="36" t="n">
        <v>1</v>
      </c>
      <c r="U177" s="36" t="n">
        <v>4</v>
      </c>
      <c r="V177" s="36" t="n">
        <v>3</v>
      </c>
      <c r="W177" s="36" t="n">
        <v>0</v>
      </c>
      <c r="X177" s="36" t="n">
        <v>2</v>
      </c>
      <c r="Y177" s="38">
        <f>SUM(K177:X177)</f>
        <v/>
      </c>
      <c r="Z177" s="39">
        <f>G177-Y177</f>
        <v/>
      </c>
      <c r="AA177" s="50">
        <f>INDEX($K$3:$X$3, MATCH(MAX(K177:X177), K177:X177, 0))</f>
        <v/>
      </c>
      <c r="AB177" s="51">
        <f>LARGE(K177:X177, 1) - LARGE(K177:X177, 2)</f>
        <v/>
      </c>
    </row>
    <row r="178" ht="19" customHeight="1">
      <c r="A178" s="18" t="n">
        <v>175</v>
      </c>
      <c r="B178" s="19" t="inlineStr">
        <is>
          <t>PRATHMIK VIDYALAYA ROOM NO. 1 NAGLA JHANDA</t>
        </is>
      </c>
      <c r="C178" s="31" t="n">
        <v>728</v>
      </c>
      <c r="D178" s="31" t="n">
        <v>289</v>
      </c>
      <c r="E178" s="31" t="n">
        <v>265</v>
      </c>
      <c r="F178" s="31" t="n">
        <v>0</v>
      </c>
      <c r="G178" s="31" t="n">
        <v>554</v>
      </c>
      <c r="H178" s="32">
        <f>G178/C178</f>
        <v/>
      </c>
      <c r="I178" s="31" t="n">
        <v>83</v>
      </c>
      <c r="J178" s="31" t="n">
        <v>0</v>
      </c>
      <c r="K178" s="31" t="n">
        <v>2</v>
      </c>
      <c r="L178" s="31" t="n">
        <v>107</v>
      </c>
      <c r="M178" s="31" t="n">
        <v>321</v>
      </c>
      <c r="N178" s="31" t="n">
        <v>40</v>
      </c>
      <c r="O178" s="31" t="n">
        <v>2</v>
      </c>
      <c r="P178" s="31" t="n">
        <v>2</v>
      </c>
      <c r="Q178" s="31" t="n">
        <v>1</v>
      </c>
      <c r="R178" s="31" t="n">
        <v>69</v>
      </c>
      <c r="S178" s="31" t="n">
        <v>1</v>
      </c>
      <c r="T178" s="31" t="n">
        <v>3</v>
      </c>
      <c r="U178" s="31" t="n">
        <v>0</v>
      </c>
      <c r="V178" s="31" t="n">
        <v>3</v>
      </c>
      <c r="W178" s="31" t="n">
        <v>2</v>
      </c>
      <c r="X178" s="31" t="n">
        <v>1</v>
      </c>
      <c r="Y178" s="20">
        <f>SUM(K178:X178)</f>
        <v/>
      </c>
      <c r="Z178" s="33">
        <f>G178-Y178</f>
        <v/>
      </c>
      <c r="AA178" s="48">
        <f>INDEX($K$3:$X$3, MATCH(MAX(K178:X178), K178:X178, 0))</f>
        <v/>
      </c>
      <c r="AB178" s="49">
        <f>LARGE(K178:X178, 1) - LARGE(K178:X178, 2)</f>
        <v/>
      </c>
    </row>
    <row r="179" ht="19" customHeight="1">
      <c r="A179" s="34" t="n">
        <v>176</v>
      </c>
      <c r="B179" s="35" t="inlineStr">
        <is>
          <t>PRATHMIK VIDYALAYA ROOM NO. 2 NAGLA JHANDA</t>
        </is>
      </c>
      <c r="C179" s="36" t="n">
        <v>795</v>
      </c>
      <c r="D179" s="36" t="n">
        <v>328</v>
      </c>
      <c r="E179" s="36" t="n">
        <v>258</v>
      </c>
      <c r="F179" s="36" t="n">
        <v>0</v>
      </c>
      <c r="G179" s="36" t="n">
        <v>586</v>
      </c>
      <c r="H179" s="37">
        <f>G179/C179</f>
        <v/>
      </c>
      <c r="I179" s="36" t="n">
        <v>182</v>
      </c>
      <c r="J179" s="36" t="n">
        <v>0</v>
      </c>
      <c r="K179" s="36" t="n">
        <v>0</v>
      </c>
      <c r="L179" s="36" t="n">
        <v>213</v>
      </c>
      <c r="M179" s="36" t="n">
        <v>306</v>
      </c>
      <c r="N179" s="36" t="n">
        <v>7</v>
      </c>
      <c r="O179" s="36" t="n">
        <v>0</v>
      </c>
      <c r="P179" s="36" t="n">
        <v>3</v>
      </c>
      <c r="Q179" s="36" t="n">
        <v>0</v>
      </c>
      <c r="R179" s="36" t="n">
        <v>46</v>
      </c>
      <c r="S179" s="36" t="n">
        <v>2</v>
      </c>
      <c r="T179" s="36" t="n">
        <v>1</v>
      </c>
      <c r="U179" s="36" t="n">
        <v>1</v>
      </c>
      <c r="V179" s="36" t="n">
        <v>3</v>
      </c>
      <c r="W179" s="36" t="n">
        <v>2</v>
      </c>
      <c r="X179" s="36" t="n">
        <v>2</v>
      </c>
      <c r="Y179" s="38">
        <f>SUM(K179:X179)</f>
        <v/>
      </c>
      <c r="Z179" s="39">
        <f>G179-Y179</f>
        <v/>
      </c>
      <c r="AA179" s="50">
        <f>INDEX($K$3:$X$3, MATCH(MAX(K179:X179), K179:X179, 0))</f>
        <v/>
      </c>
      <c r="AB179" s="51">
        <f>LARGE(K179:X179, 1) - LARGE(K179:X179, 2)</f>
        <v/>
      </c>
    </row>
    <row r="180" ht="19" customHeight="1">
      <c r="A180" s="18" t="n">
        <v>177</v>
      </c>
      <c r="B180" s="19" t="inlineStr">
        <is>
          <t>PURVA MADHYAMIK VIDYALAYA ROOM NO. 1 KHIDKA JUNARDAR</t>
        </is>
      </c>
      <c r="C180" s="31" t="n">
        <v>1333</v>
      </c>
      <c r="D180" s="31" t="n">
        <v>462</v>
      </c>
      <c r="E180" s="31" t="n">
        <v>409</v>
      </c>
      <c r="F180" s="31" t="n">
        <v>0</v>
      </c>
      <c r="G180" s="31" t="n">
        <v>871</v>
      </c>
      <c r="H180" s="32">
        <f>G180/C180</f>
        <v/>
      </c>
      <c r="I180" s="31" t="n">
        <v>0</v>
      </c>
      <c r="J180" s="31" t="n">
        <v>0</v>
      </c>
      <c r="K180" s="31" t="n">
        <v>3</v>
      </c>
      <c r="L180" s="31" t="n">
        <v>456</v>
      </c>
      <c r="M180" s="31" t="n">
        <v>357</v>
      </c>
      <c r="N180" s="31" t="n">
        <v>40</v>
      </c>
      <c r="O180" s="31" t="n">
        <v>1</v>
      </c>
      <c r="P180" s="31" t="n">
        <v>2</v>
      </c>
      <c r="Q180" s="31" t="n">
        <v>0</v>
      </c>
      <c r="R180" s="31" t="n">
        <v>1</v>
      </c>
      <c r="S180" s="31" t="n">
        <v>0</v>
      </c>
      <c r="T180" s="31" t="n">
        <v>1</v>
      </c>
      <c r="U180" s="31" t="n">
        <v>1</v>
      </c>
      <c r="V180" s="31" t="n">
        <v>3</v>
      </c>
      <c r="W180" s="31" t="n">
        <v>3</v>
      </c>
      <c r="X180" s="31" t="n">
        <v>3</v>
      </c>
      <c r="Y180" s="20">
        <f>SUM(K180:X180)</f>
        <v/>
      </c>
      <c r="Z180" s="33">
        <f>G180-Y180</f>
        <v/>
      </c>
      <c r="AA180" s="48">
        <f>INDEX($K$3:$X$3, MATCH(MAX(K180:X180), K180:X180, 0))</f>
        <v/>
      </c>
      <c r="AB180" s="49">
        <f>LARGE(K180:X180, 1) - LARGE(K180:X180, 2)</f>
        <v/>
      </c>
    </row>
    <row r="181" ht="19" customHeight="1">
      <c r="A181" s="34" t="n">
        <v>178</v>
      </c>
      <c r="B181" s="35" t="inlineStr">
        <is>
          <t>PURVA MADHYAMIK VIDYALAYA ROOM NO. 2 KHIDKA JUNARDAR</t>
        </is>
      </c>
      <c r="C181" s="36" t="n">
        <v>662</v>
      </c>
      <c r="D181" s="36" t="n">
        <v>240</v>
      </c>
      <c r="E181" s="36" t="n">
        <v>219</v>
      </c>
      <c r="F181" s="36" t="n">
        <v>0</v>
      </c>
      <c r="G181" s="36" t="n">
        <v>459</v>
      </c>
      <c r="H181" s="37">
        <f>G181/C181</f>
        <v/>
      </c>
      <c r="I181" s="36" t="n">
        <v>2</v>
      </c>
      <c r="J181" s="36" t="n">
        <v>0</v>
      </c>
      <c r="K181" s="36" t="n">
        <v>0</v>
      </c>
      <c r="L181" s="36" t="n">
        <v>61</v>
      </c>
      <c r="M181" s="36" t="n">
        <v>67</v>
      </c>
      <c r="N181" s="36" t="n">
        <v>323</v>
      </c>
      <c r="O181" s="36" t="n">
        <v>5</v>
      </c>
      <c r="P181" s="36" t="n">
        <v>0</v>
      </c>
      <c r="Q181" s="36" t="n">
        <v>1</v>
      </c>
      <c r="R181" s="36" t="n">
        <v>0</v>
      </c>
      <c r="S181" s="36" t="n">
        <v>0</v>
      </c>
      <c r="T181" s="36" t="n">
        <v>0</v>
      </c>
      <c r="U181" s="36" t="n">
        <v>1</v>
      </c>
      <c r="V181" s="36" t="n">
        <v>1</v>
      </c>
      <c r="W181" s="36" t="n">
        <v>0</v>
      </c>
      <c r="X181" s="36" t="n">
        <v>0</v>
      </c>
      <c r="Y181" s="38">
        <f>SUM(K181:X181)</f>
        <v/>
      </c>
      <c r="Z181" s="39">
        <f>G181-Y181</f>
        <v/>
      </c>
      <c r="AA181" s="50">
        <f>INDEX($K$3:$X$3, MATCH(MAX(K181:X181), K181:X181, 0))</f>
        <v/>
      </c>
      <c r="AB181" s="51">
        <f>LARGE(K181:X181, 1) - LARGE(K181:X181, 2)</f>
        <v/>
      </c>
    </row>
    <row r="182" ht="19" customHeight="1">
      <c r="A182" s="18" t="n">
        <v>179</v>
      </c>
      <c r="B182" s="19" t="inlineStr">
        <is>
          <t>PRATHMIK VIDYALAYA ROOM NO. 1 NAGLA BABIL KHURD</t>
        </is>
      </c>
      <c r="C182" s="31" t="n">
        <v>968</v>
      </c>
      <c r="D182" s="31" t="n">
        <v>422</v>
      </c>
      <c r="E182" s="31" t="n">
        <v>382</v>
      </c>
      <c r="F182" s="31" t="n">
        <v>0</v>
      </c>
      <c r="G182" s="31" t="n">
        <v>804</v>
      </c>
      <c r="H182" s="32">
        <f>G182/C182</f>
        <v/>
      </c>
      <c r="I182" s="31" t="n">
        <v>0</v>
      </c>
      <c r="J182" s="31" t="n">
        <v>0</v>
      </c>
      <c r="K182" s="31" t="n">
        <v>3</v>
      </c>
      <c r="L182" s="31" t="n">
        <v>333</v>
      </c>
      <c r="M182" s="31" t="n">
        <v>108</v>
      </c>
      <c r="N182" s="31" t="n">
        <v>347</v>
      </c>
      <c r="O182" s="31" t="n">
        <v>1</v>
      </c>
      <c r="P182" s="31" t="n">
        <v>0</v>
      </c>
      <c r="Q182" s="31" t="n">
        <v>0</v>
      </c>
      <c r="R182" s="31" t="n">
        <v>3</v>
      </c>
      <c r="S182" s="31" t="n">
        <v>1</v>
      </c>
      <c r="T182" s="31" t="n">
        <v>0</v>
      </c>
      <c r="U182" s="31" t="n">
        <v>4</v>
      </c>
      <c r="V182" s="31" t="n">
        <v>0</v>
      </c>
      <c r="W182" s="31" t="n">
        <v>1</v>
      </c>
      <c r="X182" s="31" t="n">
        <v>3</v>
      </c>
      <c r="Y182" s="20">
        <f>SUM(K182:X182)</f>
        <v/>
      </c>
      <c r="Z182" s="33">
        <f>G182-Y182</f>
        <v/>
      </c>
      <c r="AA182" s="48">
        <f>INDEX($K$3:$X$3, MATCH(MAX(K182:X182), K182:X182, 0))</f>
        <v/>
      </c>
      <c r="AB182" s="49">
        <f>LARGE(K182:X182, 1) - LARGE(K182:X182, 2)</f>
        <v/>
      </c>
    </row>
    <row r="183" ht="19" customHeight="1">
      <c r="A183" s="34" t="n">
        <v>180</v>
      </c>
      <c r="B183" s="35" t="inlineStr">
        <is>
          <t>PRATHMIK VIDYALAYA ROOM NO. 2 NAGLA BABIL KHURD</t>
        </is>
      </c>
      <c r="C183" s="36" t="n">
        <v>1147</v>
      </c>
      <c r="D183" s="36" t="n">
        <v>448</v>
      </c>
      <c r="E183" s="36" t="n">
        <v>385</v>
      </c>
      <c r="F183" s="36" t="n">
        <v>0</v>
      </c>
      <c r="G183" s="36" t="n">
        <v>833</v>
      </c>
      <c r="H183" s="37">
        <f>G183/C183</f>
        <v/>
      </c>
      <c r="I183" s="36" t="n">
        <v>200</v>
      </c>
      <c r="J183" s="36" t="n">
        <v>0</v>
      </c>
      <c r="K183" s="36" t="n">
        <v>4</v>
      </c>
      <c r="L183" s="36" t="n">
        <v>229</v>
      </c>
      <c r="M183" s="36" t="n">
        <v>488</v>
      </c>
      <c r="N183" s="36" t="n">
        <v>92</v>
      </c>
      <c r="O183" s="36" t="n">
        <v>4</v>
      </c>
      <c r="P183" s="36" t="n">
        <v>1</v>
      </c>
      <c r="Q183" s="36" t="n">
        <v>0</v>
      </c>
      <c r="R183" s="36" t="n">
        <v>0</v>
      </c>
      <c r="S183" s="36" t="n">
        <v>0</v>
      </c>
      <c r="T183" s="36" t="n">
        <v>1</v>
      </c>
      <c r="U183" s="36" t="n">
        <v>2</v>
      </c>
      <c r="V183" s="36" t="n">
        <v>2</v>
      </c>
      <c r="W183" s="36" t="n">
        <v>5</v>
      </c>
      <c r="X183" s="36" t="n">
        <v>5</v>
      </c>
      <c r="Y183" s="38">
        <f>SUM(K183:X183)</f>
        <v/>
      </c>
      <c r="Z183" s="39">
        <f>G183-Y183</f>
        <v/>
      </c>
      <c r="AA183" s="50">
        <f>INDEX($K$3:$X$3, MATCH(MAX(K183:X183), K183:X183, 0))</f>
        <v/>
      </c>
      <c r="AB183" s="51">
        <f>LARGE(K183:X183, 1) - LARGE(K183:X183, 2)</f>
        <v/>
      </c>
    </row>
    <row r="184" ht="19" customHeight="1">
      <c r="A184" s="18" t="n">
        <v>181</v>
      </c>
      <c r="B184" s="19" t="inlineStr">
        <is>
          <t>PRATHMIK VIDYALAYA ROOM NO. 1 BABIL BUJURG</t>
        </is>
      </c>
      <c r="C184" s="31" t="n">
        <v>1421</v>
      </c>
      <c r="D184" s="31" t="n">
        <v>560</v>
      </c>
      <c r="E184" s="31" t="n">
        <v>498</v>
      </c>
      <c r="F184" s="31" t="n">
        <v>0</v>
      </c>
      <c r="G184" s="31" t="n">
        <v>1058</v>
      </c>
      <c r="H184" s="32">
        <f>G184/C184</f>
        <v/>
      </c>
      <c r="I184" s="31" t="n">
        <v>0</v>
      </c>
      <c r="J184" s="31" t="n">
        <v>0</v>
      </c>
      <c r="K184" s="31" t="n">
        <v>4</v>
      </c>
      <c r="L184" s="31" t="n">
        <v>534</v>
      </c>
      <c r="M184" s="31" t="n">
        <v>95</v>
      </c>
      <c r="N184" s="31" t="n">
        <v>384</v>
      </c>
      <c r="O184" s="31" t="n">
        <v>1</v>
      </c>
      <c r="P184" s="31" t="n">
        <v>2</v>
      </c>
      <c r="Q184" s="31" t="n">
        <v>0</v>
      </c>
      <c r="R184" s="31" t="n">
        <v>28</v>
      </c>
      <c r="S184" s="31" t="n">
        <v>0</v>
      </c>
      <c r="T184" s="31" t="n">
        <v>1</v>
      </c>
      <c r="U184" s="31" t="n">
        <v>1</v>
      </c>
      <c r="V184" s="31" t="n">
        <v>1</v>
      </c>
      <c r="W184" s="31" t="n">
        <v>2</v>
      </c>
      <c r="X184" s="31" t="n">
        <v>5</v>
      </c>
      <c r="Y184" s="20">
        <f>SUM(K184:X184)</f>
        <v/>
      </c>
      <c r="Z184" s="33">
        <f>G184-Y184</f>
        <v/>
      </c>
      <c r="AA184" s="48">
        <f>INDEX($K$3:$X$3, MATCH(MAX(K184:X184), K184:X184, 0))</f>
        <v/>
      </c>
      <c r="AB184" s="49">
        <f>LARGE(K184:X184, 1) - LARGE(K184:X184, 2)</f>
        <v/>
      </c>
    </row>
    <row r="185" ht="19" customHeight="1">
      <c r="A185" s="34" t="n">
        <v>182</v>
      </c>
      <c r="B185" s="35" t="inlineStr">
        <is>
          <t>PRATHMIK VIDYALAYA ROOM NO. 2 BABIL BUJURG</t>
        </is>
      </c>
      <c r="C185" s="36" t="n">
        <v>1343</v>
      </c>
      <c r="D185" s="36" t="n">
        <v>489</v>
      </c>
      <c r="E185" s="36" t="n">
        <v>455</v>
      </c>
      <c r="F185" s="36" t="n">
        <v>0</v>
      </c>
      <c r="G185" s="36" t="n">
        <v>944</v>
      </c>
      <c r="H185" s="37">
        <f>G185/C185</f>
        <v/>
      </c>
      <c r="I185" s="36" t="n">
        <v>0</v>
      </c>
      <c r="J185" s="36" t="n">
        <v>0</v>
      </c>
      <c r="K185" s="36" t="n">
        <v>2</v>
      </c>
      <c r="L185" s="36" t="n">
        <v>48</v>
      </c>
      <c r="M185" s="36" t="n">
        <v>355</v>
      </c>
      <c r="N185" s="36" t="n">
        <v>511</v>
      </c>
      <c r="O185" s="36" t="n">
        <v>3</v>
      </c>
      <c r="P185" s="36" t="n">
        <v>1</v>
      </c>
      <c r="Q185" s="36" t="n">
        <v>2</v>
      </c>
      <c r="R185" s="36" t="n">
        <v>13</v>
      </c>
      <c r="S185" s="36" t="n">
        <v>0</v>
      </c>
      <c r="T185" s="36" t="n">
        <v>1</v>
      </c>
      <c r="U185" s="36" t="n">
        <v>1</v>
      </c>
      <c r="V185" s="36" t="n">
        <v>0</v>
      </c>
      <c r="W185" s="36" t="n">
        <v>2</v>
      </c>
      <c r="X185" s="36" t="n">
        <v>5</v>
      </c>
      <c r="Y185" s="38">
        <f>SUM(K185:X185)</f>
        <v/>
      </c>
      <c r="Z185" s="39">
        <f>G185-Y185</f>
        <v/>
      </c>
      <c r="AA185" s="50">
        <f>INDEX($K$3:$X$3, MATCH(MAX(K185:X185), K185:X185, 0))</f>
        <v/>
      </c>
      <c r="AB185" s="51">
        <f>LARGE(K185:X185, 1) - LARGE(K185:X185, 2)</f>
        <v/>
      </c>
    </row>
    <row r="186" ht="19" customHeight="1">
      <c r="A186" s="18" t="n">
        <v>183</v>
      </c>
      <c r="B186" s="19" t="inlineStr">
        <is>
          <t>PRATHMIK VIDYALAYA MOH. ROOM NO. 1 AMIPUR URF DAUDPURA</t>
        </is>
      </c>
      <c r="C186" s="31" t="n">
        <v>1072</v>
      </c>
      <c r="D186" s="31" t="n">
        <v>385</v>
      </c>
      <c r="E186" s="31" t="n">
        <v>365</v>
      </c>
      <c r="F186" s="31" t="n">
        <v>0</v>
      </c>
      <c r="G186" s="31" t="n">
        <v>750</v>
      </c>
      <c r="H186" s="32">
        <f>G186/C186</f>
        <v/>
      </c>
      <c r="I186" s="31" t="n">
        <v>0</v>
      </c>
      <c r="J186" s="31" t="n">
        <v>0</v>
      </c>
      <c r="K186" s="31" t="n">
        <v>4</v>
      </c>
      <c r="L186" s="31" t="n">
        <v>253</v>
      </c>
      <c r="M186" s="31" t="n">
        <v>115</v>
      </c>
      <c r="N186" s="31" t="n">
        <v>351</v>
      </c>
      <c r="O186" s="31" t="n">
        <v>3</v>
      </c>
      <c r="P186" s="31" t="n">
        <v>1</v>
      </c>
      <c r="Q186" s="31" t="n">
        <v>0</v>
      </c>
      <c r="R186" s="31" t="n">
        <v>2</v>
      </c>
      <c r="S186" s="31" t="n">
        <v>0</v>
      </c>
      <c r="T186" s="31" t="n">
        <v>1</v>
      </c>
      <c r="U186" s="31" t="n">
        <v>3</v>
      </c>
      <c r="V186" s="31" t="n">
        <v>3</v>
      </c>
      <c r="W186" s="31" t="n">
        <v>9</v>
      </c>
      <c r="X186" s="31" t="n">
        <v>5</v>
      </c>
      <c r="Y186" s="20">
        <f>SUM(K186:X186)</f>
        <v/>
      </c>
      <c r="Z186" s="33">
        <f>G186-Y186</f>
        <v/>
      </c>
      <c r="AA186" s="48">
        <f>INDEX($K$3:$X$3, MATCH(MAX(K186:X186), K186:X186, 0))</f>
        <v/>
      </c>
      <c r="AB186" s="49">
        <f>LARGE(K186:X186, 1) - LARGE(K186:X186, 2)</f>
        <v/>
      </c>
    </row>
    <row r="187" ht="19" customHeight="1">
      <c r="A187" s="34" t="n">
        <v>184</v>
      </c>
      <c r="B187" s="35" t="inlineStr">
        <is>
          <t>PRATHMIK VIDYALAYA ROOM NO. 1 TAJPURA</t>
        </is>
      </c>
      <c r="C187" s="36" t="n">
        <v>845</v>
      </c>
      <c r="D187" s="36" t="n">
        <v>351</v>
      </c>
      <c r="E187" s="36" t="n">
        <v>280</v>
      </c>
      <c r="F187" s="36" t="n">
        <v>0</v>
      </c>
      <c r="G187" s="36" t="n">
        <v>631</v>
      </c>
      <c r="H187" s="37">
        <f>G187/C187</f>
        <v/>
      </c>
      <c r="I187" s="36" t="n">
        <v>0</v>
      </c>
      <c r="J187" s="36" t="n">
        <v>0</v>
      </c>
      <c r="K187" s="36" t="n">
        <v>1</v>
      </c>
      <c r="L187" s="36" t="n">
        <v>311</v>
      </c>
      <c r="M187" s="36" t="n">
        <v>222</v>
      </c>
      <c r="N187" s="36" t="n">
        <v>75</v>
      </c>
      <c r="O187" s="36" t="n">
        <v>3</v>
      </c>
      <c r="P187" s="36" t="n">
        <v>3</v>
      </c>
      <c r="Q187" s="36" t="n">
        <v>0</v>
      </c>
      <c r="R187" s="36" t="n">
        <v>1</v>
      </c>
      <c r="S187" s="36" t="n">
        <v>1</v>
      </c>
      <c r="T187" s="36" t="n">
        <v>3</v>
      </c>
      <c r="U187" s="36" t="n">
        <v>2</v>
      </c>
      <c r="V187" s="36" t="n">
        <v>2</v>
      </c>
      <c r="W187" s="36" t="n">
        <v>2</v>
      </c>
      <c r="X187" s="36" t="n">
        <v>5</v>
      </c>
      <c r="Y187" s="38">
        <f>SUM(K187:X187)</f>
        <v/>
      </c>
      <c r="Z187" s="39">
        <f>G187-Y187</f>
        <v/>
      </c>
      <c r="AA187" s="50">
        <f>INDEX($K$3:$X$3, MATCH(MAX(K187:X187), K187:X187, 0))</f>
        <v/>
      </c>
      <c r="AB187" s="51">
        <f>LARGE(K187:X187, 1) - LARGE(K187:X187, 2)</f>
        <v/>
      </c>
    </row>
    <row r="188" ht="19" customHeight="1">
      <c r="A188" s="18" t="n">
        <v>185</v>
      </c>
      <c r="B188" s="19" t="inlineStr">
        <is>
          <t>PRATHMIK VIDYALAYA ROOM NO. 4 TAJPURA</t>
        </is>
      </c>
      <c r="C188" s="31" t="n">
        <v>799</v>
      </c>
      <c r="D188" s="31" t="n">
        <v>311</v>
      </c>
      <c r="E188" s="31" t="n">
        <v>258</v>
      </c>
      <c r="F188" s="31" t="n">
        <v>0</v>
      </c>
      <c r="G188" s="31" t="n">
        <v>569</v>
      </c>
      <c r="H188" s="32">
        <f>G188/C188</f>
        <v/>
      </c>
      <c r="I188" s="31" t="n">
        <v>0</v>
      </c>
      <c r="J188" s="31" t="n">
        <v>0</v>
      </c>
      <c r="K188" s="31" t="n">
        <v>2</v>
      </c>
      <c r="L188" s="31" t="n">
        <v>89</v>
      </c>
      <c r="M188" s="31" t="n">
        <v>453</v>
      </c>
      <c r="N188" s="31" t="n">
        <v>14</v>
      </c>
      <c r="O188" s="31" t="n">
        <v>3</v>
      </c>
      <c r="P188" s="31" t="n">
        <v>0</v>
      </c>
      <c r="Q188" s="31" t="n">
        <v>0</v>
      </c>
      <c r="R188" s="31" t="n">
        <v>2</v>
      </c>
      <c r="S188" s="31" t="n">
        <v>1</v>
      </c>
      <c r="T188" s="31" t="n">
        <v>0</v>
      </c>
      <c r="U188" s="31" t="n">
        <v>0</v>
      </c>
      <c r="V188" s="31" t="n">
        <v>1</v>
      </c>
      <c r="W188" s="31" t="n">
        <v>2</v>
      </c>
      <c r="X188" s="31" t="n">
        <v>2</v>
      </c>
      <c r="Y188" s="20">
        <f>SUM(K188:X188)</f>
        <v/>
      </c>
      <c r="Z188" s="33">
        <f>G188-Y188</f>
        <v/>
      </c>
      <c r="AA188" s="48">
        <f>INDEX($K$3:$X$3, MATCH(MAX(K188:X188), K188:X188, 0))</f>
        <v/>
      </c>
      <c r="AB188" s="49">
        <f>LARGE(K188:X188, 1) - LARGE(K188:X188, 2)</f>
        <v/>
      </c>
    </row>
    <row r="189" ht="19" customHeight="1">
      <c r="A189" s="34" t="n">
        <v>186</v>
      </c>
      <c r="B189" s="35" t="inlineStr">
        <is>
          <t>PRATHMIK VIDYALAYA ROOM NO. 2 TAJPURA</t>
        </is>
      </c>
      <c r="C189" s="36" t="n">
        <v>1117</v>
      </c>
      <c r="D189" s="36" t="n">
        <v>430</v>
      </c>
      <c r="E189" s="36" t="n">
        <v>345</v>
      </c>
      <c r="F189" s="36" t="n">
        <v>0</v>
      </c>
      <c r="G189" s="36" t="n">
        <v>775</v>
      </c>
      <c r="H189" s="37">
        <f>G189/C189</f>
        <v/>
      </c>
      <c r="I189" s="36" t="n">
        <v>13</v>
      </c>
      <c r="J189" s="36" t="n">
        <v>0</v>
      </c>
      <c r="K189" s="36" t="n">
        <v>1</v>
      </c>
      <c r="L189" s="36" t="n">
        <v>176</v>
      </c>
      <c r="M189" s="36" t="n">
        <v>546</v>
      </c>
      <c r="N189" s="36" t="n">
        <v>38</v>
      </c>
      <c r="O189" s="36" t="n">
        <v>0</v>
      </c>
      <c r="P189" s="36" t="n">
        <v>0</v>
      </c>
      <c r="Q189" s="36" t="n">
        <v>0</v>
      </c>
      <c r="R189" s="36" t="n">
        <v>0</v>
      </c>
      <c r="S189" s="36" t="n">
        <v>0</v>
      </c>
      <c r="T189" s="36" t="n">
        <v>0</v>
      </c>
      <c r="U189" s="36" t="n">
        <v>2</v>
      </c>
      <c r="V189" s="36" t="n">
        <v>6</v>
      </c>
      <c r="W189" s="36" t="n">
        <v>4</v>
      </c>
      <c r="X189" s="36" t="n">
        <v>2</v>
      </c>
      <c r="Y189" s="38">
        <f>SUM(K189:X189)</f>
        <v/>
      </c>
      <c r="Z189" s="39">
        <f>G189-Y189</f>
        <v/>
      </c>
      <c r="AA189" s="50">
        <f>INDEX($K$3:$X$3, MATCH(MAX(K189:X189), K189:X189, 0))</f>
        <v/>
      </c>
      <c r="AB189" s="51">
        <f>LARGE(K189:X189, 1) - LARGE(K189:X189, 2)</f>
        <v/>
      </c>
    </row>
    <row r="190" ht="19" customHeight="1">
      <c r="A190" s="18" t="n">
        <v>187</v>
      </c>
      <c r="B190" s="19" t="inlineStr">
        <is>
          <t>PRATHMIK VIDYALAYA ROOM NO. 3 TAJPURA</t>
        </is>
      </c>
      <c r="C190" s="31" t="n">
        <v>950</v>
      </c>
      <c r="D190" s="31" t="n">
        <v>327</v>
      </c>
      <c r="E190" s="31" t="n">
        <v>282</v>
      </c>
      <c r="F190" s="31" t="n">
        <v>0</v>
      </c>
      <c r="G190" s="31" t="n">
        <v>609</v>
      </c>
      <c r="H190" s="32">
        <f>G190/C190</f>
        <v/>
      </c>
      <c r="I190" s="31" t="n">
        <v>0</v>
      </c>
      <c r="J190" s="31" t="n">
        <v>0</v>
      </c>
      <c r="K190" s="31" t="n">
        <v>2</v>
      </c>
      <c r="L190" s="31" t="n">
        <v>66</v>
      </c>
      <c r="M190" s="31" t="n">
        <v>509</v>
      </c>
      <c r="N190" s="31" t="n">
        <v>18</v>
      </c>
      <c r="O190" s="31" t="n">
        <v>0</v>
      </c>
      <c r="P190" s="31" t="n">
        <v>0</v>
      </c>
      <c r="Q190" s="31" t="n">
        <v>0</v>
      </c>
      <c r="R190" s="31" t="n">
        <v>0</v>
      </c>
      <c r="S190" s="31" t="n">
        <v>0</v>
      </c>
      <c r="T190" s="31" t="n">
        <v>3</v>
      </c>
      <c r="U190" s="31" t="n">
        <v>2</v>
      </c>
      <c r="V190" s="31" t="n">
        <v>1</v>
      </c>
      <c r="W190" s="31" t="n">
        <v>1</v>
      </c>
      <c r="X190" s="31" t="n">
        <v>7</v>
      </c>
      <c r="Y190" s="20">
        <f>SUM(K190:X190)</f>
        <v/>
      </c>
      <c r="Z190" s="33">
        <f>G190-Y190</f>
        <v/>
      </c>
      <c r="AA190" s="48">
        <f>INDEX($K$3:$X$3, MATCH(MAX(K190:X190), K190:X190, 0))</f>
        <v/>
      </c>
      <c r="AB190" s="49">
        <f>LARGE(K190:X190, 1) - LARGE(K190:X190, 2)</f>
        <v/>
      </c>
    </row>
    <row r="191" ht="19" customHeight="1">
      <c r="A191" s="34" t="n">
        <v>188</v>
      </c>
      <c r="B191" s="35" t="inlineStr">
        <is>
          <t>PURVA MADHYAMIK VIDYALAYA ROOM NO. 1 BIJOPURI</t>
        </is>
      </c>
      <c r="C191" s="36" t="n">
        <v>526</v>
      </c>
      <c r="D191" s="36" t="n">
        <v>204</v>
      </c>
      <c r="E191" s="36" t="n">
        <v>201</v>
      </c>
      <c r="F191" s="36" t="n">
        <v>0</v>
      </c>
      <c r="G191" s="36" t="n">
        <v>405</v>
      </c>
      <c r="H191" s="37">
        <f>G191/C191</f>
        <v/>
      </c>
      <c r="I191" s="36" t="n">
        <v>7</v>
      </c>
      <c r="J191" s="36" t="n">
        <v>0</v>
      </c>
      <c r="K191" s="36" t="n">
        <v>3</v>
      </c>
      <c r="L191" s="36" t="n">
        <v>104</v>
      </c>
      <c r="M191" s="36" t="n">
        <v>183</v>
      </c>
      <c r="N191" s="36" t="n">
        <v>106</v>
      </c>
      <c r="O191" s="36" t="n">
        <v>3</v>
      </c>
      <c r="P191" s="36" t="n">
        <v>3</v>
      </c>
      <c r="Q191" s="36" t="n">
        <v>0</v>
      </c>
      <c r="R191" s="36" t="n">
        <v>2</v>
      </c>
      <c r="S191" s="36" t="n">
        <v>0</v>
      </c>
      <c r="T191" s="36" t="n">
        <v>1</v>
      </c>
      <c r="U191" s="36" t="n">
        <v>0</v>
      </c>
      <c r="V191" s="36" t="n">
        <v>0</v>
      </c>
      <c r="W191" s="36" t="n">
        <v>0</v>
      </c>
      <c r="X191" s="36" t="n">
        <v>0</v>
      </c>
      <c r="Y191" s="38">
        <f>SUM(K191:X191)</f>
        <v/>
      </c>
      <c r="Z191" s="39">
        <f>G191-Y191</f>
        <v/>
      </c>
      <c r="AA191" s="50">
        <f>INDEX($K$3:$X$3, MATCH(MAX(K191:X191), K191:X191, 0))</f>
        <v/>
      </c>
      <c r="AB191" s="51">
        <f>LARGE(K191:X191, 1) - LARGE(K191:X191, 2)</f>
        <v/>
      </c>
    </row>
    <row r="192" ht="19" customHeight="1">
      <c r="A192" s="18" t="n">
        <v>189</v>
      </c>
      <c r="B192" s="19" t="inlineStr">
        <is>
          <t>PRATHMIK VIDYALAYA ROOM NO. 1 BIJOPURA</t>
        </is>
      </c>
      <c r="C192" s="31" t="n">
        <v>1009</v>
      </c>
      <c r="D192" s="31" t="n">
        <v>372</v>
      </c>
      <c r="E192" s="31" t="n">
        <v>352</v>
      </c>
      <c r="F192" s="31" t="n">
        <v>0</v>
      </c>
      <c r="G192" s="31" t="n">
        <v>724</v>
      </c>
      <c r="H192" s="32">
        <f>G192/C192</f>
        <v/>
      </c>
      <c r="I192" s="31" t="n">
        <v>10</v>
      </c>
      <c r="J192" s="31" t="n">
        <v>0</v>
      </c>
      <c r="K192" s="31" t="n">
        <v>3</v>
      </c>
      <c r="L192" s="31" t="n">
        <v>138</v>
      </c>
      <c r="M192" s="31" t="n">
        <v>294</v>
      </c>
      <c r="N192" s="31" t="n">
        <v>276</v>
      </c>
      <c r="O192" s="31" t="n">
        <v>3</v>
      </c>
      <c r="P192" s="31" t="n">
        <v>2</v>
      </c>
      <c r="Q192" s="31" t="n">
        <v>2</v>
      </c>
      <c r="R192" s="31" t="n">
        <v>0</v>
      </c>
      <c r="S192" s="31" t="n">
        <v>1</v>
      </c>
      <c r="T192" s="31" t="n">
        <v>0</v>
      </c>
      <c r="U192" s="31" t="n">
        <v>3</v>
      </c>
      <c r="V192" s="31" t="n">
        <v>0</v>
      </c>
      <c r="W192" s="31" t="n">
        <v>1</v>
      </c>
      <c r="X192" s="31" t="n">
        <v>1</v>
      </c>
      <c r="Y192" s="20">
        <f>SUM(K192:X192)</f>
        <v/>
      </c>
      <c r="Z192" s="33">
        <f>G192-Y192</f>
        <v/>
      </c>
      <c r="AA192" s="48">
        <f>INDEX($K$3:$X$3, MATCH(MAX(K192:X192), K192:X192, 0))</f>
        <v/>
      </c>
      <c r="AB192" s="49">
        <f>LARGE(K192:X192, 1) - LARGE(K192:X192, 2)</f>
        <v/>
      </c>
    </row>
    <row r="193" ht="19" customHeight="1">
      <c r="A193" s="34" t="n">
        <v>190</v>
      </c>
      <c r="B193" s="35" t="inlineStr">
        <is>
          <t>PRATHMIK VIDYALAYA ROOM NO. 3 BIJOPURA</t>
        </is>
      </c>
      <c r="C193" s="36" t="n">
        <v>910</v>
      </c>
      <c r="D193" s="36" t="n">
        <v>348</v>
      </c>
      <c r="E193" s="36" t="n">
        <v>322</v>
      </c>
      <c r="F193" s="36" t="n">
        <v>0</v>
      </c>
      <c r="G193" s="36" t="n">
        <v>670</v>
      </c>
      <c r="H193" s="37">
        <f>G193/C193</f>
        <v/>
      </c>
      <c r="I193" s="36" t="n">
        <v>4</v>
      </c>
      <c r="J193" s="36" t="n">
        <v>0</v>
      </c>
      <c r="K193" s="36" t="n">
        <v>6</v>
      </c>
      <c r="L193" s="36" t="n">
        <v>209</v>
      </c>
      <c r="M193" s="36" t="n">
        <v>424</v>
      </c>
      <c r="N193" s="36" t="n">
        <v>12</v>
      </c>
      <c r="O193" s="36" t="n">
        <v>2</v>
      </c>
      <c r="P193" s="36" t="n">
        <v>5</v>
      </c>
      <c r="Q193" s="36" t="n">
        <v>2</v>
      </c>
      <c r="R193" s="36" t="n">
        <v>1</v>
      </c>
      <c r="S193" s="36" t="n">
        <v>0</v>
      </c>
      <c r="T193" s="36" t="n">
        <v>1</v>
      </c>
      <c r="U193" s="36" t="n">
        <v>1</v>
      </c>
      <c r="V193" s="36" t="n">
        <v>0</v>
      </c>
      <c r="W193" s="36" t="n">
        <v>3</v>
      </c>
      <c r="X193" s="36" t="n">
        <v>4</v>
      </c>
      <c r="Y193" s="38">
        <f>SUM(K193:X193)</f>
        <v/>
      </c>
      <c r="Z193" s="39">
        <f>G193-Y193</f>
        <v/>
      </c>
      <c r="AA193" s="50">
        <f>INDEX($K$3:$X$3, MATCH(MAX(K193:X193), K193:X193, 0))</f>
        <v/>
      </c>
      <c r="AB193" s="51">
        <f>LARGE(K193:X193, 1) - LARGE(K193:X193, 2)</f>
        <v/>
      </c>
    </row>
    <row r="194" ht="19" customHeight="1">
      <c r="A194" s="18" t="n">
        <v>191</v>
      </c>
      <c r="B194" s="19" t="inlineStr">
        <is>
          <t>PRATHMIK VIDYALAYA ROOM NO. 2 BIJOPURA</t>
        </is>
      </c>
      <c r="C194" s="31" t="n">
        <v>1012</v>
      </c>
      <c r="D194" s="31" t="n">
        <v>417</v>
      </c>
      <c r="E194" s="31" t="n">
        <v>341</v>
      </c>
      <c r="F194" s="31" t="n">
        <v>0</v>
      </c>
      <c r="G194" s="31" t="n">
        <v>758</v>
      </c>
      <c r="H194" s="32">
        <f>G194/C194</f>
        <v/>
      </c>
      <c r="I194" s="31" t="n">
        <v>6</v>
      </c>
      <c r="J194" s="31" t="n">
        <v>0</v>
      </c>
      <c r="K194" s="31" t="n">
        <v>2</v>
      </c>
      <c r="L194" s="31" t="n">
        <v>600</v>
      </c>
      <c r="M194" s="31" t="n">
        <v>47</v>
      </c>
      <c r="N194" s="31" t="n">
        <v>97</v>
      </c>
      <c r="O194" s="31" t="n">
        <v>1</v>
      </c>
      <c r="P194" s="31" t="n">
        <v>0</v>
      </c>
      <c r="Q194" s="31" t="n">
        <v>3</v>
      </c>
      <c r="R194" s="31" t="n">
        <v>2</v>
      </c>
      <c r="S194" s="31" t="n">
        <v>0</v>
      </c>
      <c r="T194" s="31" t="n">
        <v>0</v>
      </c>
      <c r="U194" s="31" t="n">
        <v>0</v>
      </c>
      <c r="V194" s="31" t="n">
        <v>0</v>
      </c>
      <c r="W194" s="31" t="n">
        <v>4</v>
      </c>
      <c r="X194" s="31" t="n">
        <v>2</v>
      </c>
      <c r="Y194" s="20">
        <f>SUM(K194:X194)</f>
        <v/>
      </c>
      <c r="Z194" s="33">
        <f>G194-Y194</f>
        <v/>
      </c>
      <c r="AA194" s="48">
        <f>INDEX($K$3:$X$3, MATCH(MAX(K194:X194), K194:X194, 0))</f>
        <v/>
      </c>
      <c r="AB194" s="49">
        <f>LARGE(K194:X194, 1) - LARGE(K194:X194, 2)</f>
        <v/>
      </c>
    </row>
    <row r="195" ht="19" customHeight="1">
      <c r="A195" s="34" t="n">
        <v>192</v>
      </c>
      <c r="B195" s="35" t="inlineStr">
        <is>
          <t>PRATHMIK VIDYALAYA ROOM NO. 1 PANSER</t>
        </is>
      </c>
      <c r="C195" s="36" t="n">
        <v>1043</v>
      </c>
      <c r="D195" s="36" t="n">
        <v>456</v>
      </c>
      <c r="E195" s="36" t="n">
        <v>436</v>
      </c>
      <c r="F195" s="36" t="n">
        <v>0</v>
      </c>
      <c r="G195" s="36" t="n">
        <v>892</v>
      </c>
      <c r="H195" s="37">
        <f>G195/C195</f>
        <v/>
      </c>
      <c r="I195" s="36" t="n">
        <v>0</v>
      </c>
      <c r="J195" s="36" t="n">
        <v>0</v>
      </c>
      <c r="K195" s="36" t="n">
        <v>7</v>
      </c>
      <c r="L195" s="36" t="n">
        <v>341</v>
      </c>
      <c r="M195" s="36" t="n">
        <v>323</v>
      </c>
      <c r="N195" s="36" t="n">
        <v>182</v>
      </c>
      <c r="O195" s="36" t="n">
        <v>2</v>
      </c>
      <c r="P195" s="36" t="n">
        <v>1</v>
      </c>
      <c r="Q195" s="36" t="n">
        <v>0</v>
      </c>
      <c r="R195" s="36" t="n">
        <v>24</v>
      </c>
      <c r="S195" s="36" t="n">
        <v>0</v>
      </c>
      <c r="T195" s="36" t="n">
        <v>1</v>
      </c>
      <c r="U195" s="36" t="n">
        <v>2</v>
      </c>
      <c r="V195" s="36" t="n">
        <v>3</v>
      </c>
      <c r="W195" s="36" t="n">
        <v>2</v>
      </c>
      <c r="X195" s="36" t="n">
        <v>4</v>
      </c>
      <c r="Y195" s="38">
        <f>SUM(K195:X195)</f>
        <v/>
      </c>
      <c r="Z195" s="39">
        <f>G195-Y195</f>
        <v/>
      </c>
      <c r="AA195" s="50">
        <f>INDEX($K$3:$X$3, MATCH(MAX(K195:X195), K195:X195, 0))</f>
        <v/>
      </c>
      <c r="AB195" s="51">
        <f>LARGE(K195:X195, 1) - LARGE(K195:X195, 2)</f>
        <v/>
      </c>
    </row>
    <row r="196" ht="19" customHeight="1">
      <c r="A196" s="18" t="n">
        <v>193</v>
      </c>
      <c r="B196" s="19" t="inlineStr">
        <is>
          <t>PRATHMIK VIDYALAYA ROOM NO. 1 BHOJEWALA</t>
        </is>
      </c>
      <c r="C196" s="31" t="n">
        <v>1134</v>
      </c>
      <c r="D196" s="31" t="n">
        <v>393</v>
      </c>
      <c r="E196" s="31" t="n">
        <v>357</v>
      </c>
      <c r="F196" s="31" t="n">
        <v>0</v>
      </c>
      <c r="G196" s="31" t="n">
        <v>750</v>
      </c>
      <c r="H196" s="32">
        <f>G196/C196</f>
        <v/>
      </c>
      <c r="I196" s="31" t="n">
        <v>55</v>
      </c>
      <c r="J196" s="31" t="n">
        <v>0</v>
      </c>
      <c r="K196" s="31" t="n">
        <v>0</v>
      </c>
      <c r="L196" s="31" t="n">
        <v>77</v>
      </c>
      <c r="M196" s="31" t="n">
        <v>593</v>
      </c>
      <c r="N196" s="31" t="n">
        <v>64</v>
      </c>
      <c r="O196" s="31" t="n">
        <v>3</v>
      </c>
      <c r="P196" s="31" t="n">
        <v>2</v>
      </c>
      <c r="Q196" s="31" t="n">
        <v>1</v>
      </c>
      <c r="R196" s="31" t="n">
        <v>0</v>
      </c>
      <c r="S196" s="31" t="n">
        <v>2</v>
      </c>
      <c r="T196" s="31" t="n">
        <v>0</v>
      </c>
      <c r="U196" s="31" t="n">
        <v>3</v>
      </c>
      <c r="V196" s="31" t="n">
        <v>2</v>
      </c>
      <c r="W196" s="31" t="n">
        <v>3</v>
      </c>
      <c r="X196" s="31" t="n">
        <v>0</v>
      </c>
      <c r="Y196" s="20">
        <f>SUM(K196:X196)</f>
        <v/>
      </c>
      <c r="Z196" s="33">
        <f>G196-Y196</f>
        <v/>
      </c>
      <c r="AA196" s="48">
        <f>INDEX($K$3:$X$3, MATCH(MAX(K196:X196), K196:X196, 0))</f>
        <v/>
      </c>
      <c r="AB196" s="49">
        <f>LARGE(K196:X196, 1) - LARGE(K196:X196, 2)</f>
        <v/>
      </c>
    </row>
    <row r="197" ht="19" customHeight="1">
      <c r="A197" s="34" t="n">
        <v>194</v>
      </c>
      <c r="B197" s="35" t="inlineStr">
        <is>
          <t>PRATHMIK VIDYALAYA ROOM NO. 2 BHOJEWALA</t>
        </is>
      </c>
      <c r="C197" s="36" t="n">
        <v>938</v>
      </c>
      <c r="D197" s="36" t="n">
        <v>321</v>
      </c>
      <c r="E197" s="36" t="n">
        <v>325</v>
      </c>
      <c r="F197" s="36" t="n">
        <v>0</v>
      </c>
      <c r="G197" s="36" t="n">
        <v>646</v>
      </c>
      <c r="H197" s="37">
        <f>G197/C197</f>
        <v/>
      </c>
      <c r="I197" s="36" t="n">
        <v>0</v>
      </c>
      <c r="J197" s="36" t="n">
        <v>0</v>
      </c>
      <c r="K197" s="36" t="n">
        <v>0</v>
      </c>
      <c r="L197" s="36" t="n">
        <v>57</v>
      </c>
      <c r="M197" s="36" t="n">
        <v>268</v>
      </c>
      <c r="N197" s="36" t="n">
        <v>301</v>
      </c>
      <c r="O197" s="36" t="n">
        <v>3</v>
      </c>
      <c r="P197" s="36" t="n">
        <v>0</v>
      </c>
      <c r="Q197" s="36" t="n">
        <v>0</v>
      </c>
      <c r="R197" s="36" t="n">
        <v>8</v>
      </c>
      <c r="S197" s="36" t="n">
        <v>0</v>
      </c>
      <c r="T197" s="36" t="n">
        <v>0</v>
      </c>
      <c r="U197" s="36" t="n">
        <v>4</v>
      </c>
      <c r="V197" s="36" t="n">
        <v>1</v>
      </c>
      <c r="W197" s="36" t="n">
        <v>1</v>
      </c>
      <c r="X197" s="36" t="n">
        <v>3</v>
      </c>
      <c r="Y197" s="38">
        <f>SUM(K197:X197)</f>
        <v/>
      </c>
      <c r="Z197" s="39">
        <f>G197-Y197</f>
        <v/>
      </c>
      <c r="AA197" s="50">
        <f>INDEX($K$3:$X$3, MATCH(MAX(K197:X197), K197:X197, 0))</f>
        <v/>
      </c>
      <c r="AB197" s="51">
        <f>LARGE(K197:X197, 1) - LARGE(K197:X197, 2)</f>
        <v/>
      </c>
    </row>
    <row r="198" ht="19" customHeight="1">
      <c r="A198" s="18" t="n">
        <v>195</v>
      </c>
      <c r="B198" s="19" t="inlineStr">
        <is>
          <t>PRATHMIK VIDYALAYA ROOM NO. 1 TIWDA JUNARDAR</t>
        </is>
      </c>
      <c r="C198" s="31" t="n">
        <v>1052</v>
      </c>
      <c r="D198" s="31" t="n">
        <v>431</v>
      </c>
      <c r="E198" s="31" t="n">
        <v>370</v>
      </c>
      <c r="F198" s="31" t="n">
        <v>0</v>
      </c>
      <c r="G198" s="31" t="n">
        <v>801</v>
      </c>
      <c r="H198" s="32">
        <f>G198/C198</f>
        <v/>
      </c>
      <c r="I198" s="31" t="n">
        <v>488</v>
      </c>
      <c r="J198" s="31" t="n">
        <v>0</v>
      </c>
      <c r="K198" s="31" t="n">
        <v>0</v>
      </c>
      <c r="L198" s="31" t="n">
        <v>180</v>
      </c>
      <c r="M198" s="31" t="n">
        <v>139</v>
      </c>
      <c r="N198" s="31" t="n">
        <v>446</v>
      </c>
      <c r="O198" s="31" t="n">
        <v>2</v>
      </c>
      <c r="P198" s="31" t="n">
        <v>1</v>
      </c>
      <c r="Q198" s="31" t="n">
        <v>1</v>
      </c>
      <c r="R198" s="31" t="n">
        <v>23</v>
      </c>
      <c r="S198" s="31" t="n">
        <v>0</v>
      </c>
      <c r="T198" s="31" t="n">
        <v>2</v>
      </c>
      <c r="U198" s="31" t="n">
        <v>1</v>
      </c>
      <c r="V198" s="31" t="n">
        <v>1</v>
      </c>
      <c r="W198" s="31" t="n">
        <v>0</v>
      </c>
      <c r="X198" s="31" t="n">
        <v>5</v>
      </c>
      <c r="Y198" s="20">
        <f>SUM(K198:X198)</f>
        <v/>
      </c>
      <c r="Z198" s="33">
        <f>G198-Y198</f>
        <v/>
      </c>
      <c r="AA198" s="48">
        <f>INDEX($K$3:$X$3, MATCH(MAX(K198:X198), K198:X198, 0))</f>
        <v/>
      </c>
      <c r="AB198" s="49">
        <f>LARGE(K198:X198, 1) - LARGE(K198:X198, 2)</f>
        <v/>
      </c>
    </row>
    <row r="199" ht="19" customHeight="1">
      <c r="A199" s="34" t="n">
        <v>196</v>
      </c>
      <c r="B199" s="35" t="inlineStr">
        <is>
          <t>PRATHMIK VIDYALAYA ROOM NO. 1 MANDORA</t>
        </is>
      </c>
      <c r="C199" s="36" t="n">
        <v>312</v>
      </c>
      <c r="D199" s="36" t="n">
        <v>153</v>
      </c>
      <c r="E199" s="36" t="n">
        <v>136</v>
      </c>
      <c r="F199" s="36" t="n">
        <v>0</v>
      </c>
      <c r="G199" s="36" t="n">
        <v>289</v>
      </c>
      <c r="H199" s="37">
        <f>G199/C199</f>
        <v/>
      </c>
      <c r="I199" s="36" t="n">
        <v>150</v>
      </c>
      <c r="J199" s="36" t="n">
        <v>0</v>
      </c>
      <c r="K199" s="36" t="n">
        <v>0</v>
      </c>
      <c r="L199" s="36" t="n">
        <v>14</v>
      </c>
      <c r="M199" s="36" t="n">
        <v>46</v>
      </c>
      <c r="N199" s="36" t="n">
        <v>224</v>
      </c>
      <c r="O199" s="36" t="n">
        <v>0</v>
      </c>
      <c r="P199" s="36" t="n">
        <v>0</v>
      </c>
      <c r="Q199" s="36" t="n">
        <v>0</v>
      </c>
      <c r="R199" s="36" t="n">
        <v>3</v>
      </c>
      <c r="S199" s="36" t="n">
        <v>0</v>
      </c>
      <c r="T199" s="36" t="n">
        <v>0</v>
      </c>
      <c r="U199" s="36" t="n">
        <v>1</v>
      </c>
      <c r="V199" s="36" t="n">
        <v>0</v>
      </c>
      <c r="W199" s="36" t="n">
        <v>0</v>
      </c>
      <c r="X199" s="36" t="n">
        <v>1</v>
      </c>
      <c r="Y199" s="38">
        <f>SUM(K199:X199)</f>
        <v/>
      </c>
      <c r="Z199" s="39">
        <f>G199-Y199</f>
        <v/>
      </c>
      <c r="AA199" s="50">
        <f>INDEX($K$3:$X$3, MATCH(MAX(K199:X199), K199:X199, 0))</f>
        <v/>
      </c>
      <c r="AB199" s="51">
        <f>LARGE(K199:X199, 1) - LARGE(K199:X199, 2)</f>
        <v/>
      </c>
    </row>
    <row r="200" ht="19" customHeight="1">
      <c r="A200" s="18" t="n">
        <v>197</v>
      </c>
      <c r="B200" s="19" t="inlineStr">
        <is>
          <t>PRATHMIK VIDYALAYA ROOM NO. 1 CHIMMABANS</t>
        </is>
      </c>
      <c r="C200" s="31" t="n">
        <v>1276</v>
      </c>
      <c r="D200" s="31" t="n">
        <v>457</v>
      </c>
      <c r="E200" s="31" t="n">
        <v>392</v>
      </c>
      <c r="F200" s="31" t="n">
        <v>0</v>
      </c>
      <c r="G200" s="31" t="n">
        <v>849</v>
      </c>
      <c r="H200" s="32">
        <f>G200/C200</f>
        <v/>
      </c>
      <c r="I200" s="31" t="n">
        <v>0</v>
      </c>
      <c r="J200" s="31" t="n">
        <v>0</v>
      </c>
      <c r="K200" s="31" t="n">
        <v>2</v>
      </c>
      <c r="L200" s="31" t="n">
        <v>280</v>
      </c>
      <c r="M200" s="31" t="n">
        <v>509</v>
      </c>
      <c r="N200" s="31" t="n">
        <v>46</v>
      </c>
      <c r="O200" s="31" t="n">
        <v>1</v>
      </c>
      <c r="P200" s="31" t="n">
        <v>1</v>
      </c>
      <c r="Q200" s="31" t="n">
        <v>0</v>
      </c>
      <c r="R200" s="31" t="n">
        <v>2</v>
      </c>
      <c r="S200" s="31" t="n">
        <v>0</v>
      </c>
      <c r="T200" s="31" t="n">
        <v>2</v>
      </c>
      <c r="U200" s="31" t="n">
        <v>0</v>
      </c>
      <c r="V200" s="31" t="n">
        <v>0</v>
      </c>
      <c r="W200" s="31" t="n">
        <v>3</v>
      </c>
      <c r="X200" s="31" t="n">
        <v>3</v>
      </c>
      <c r="Y200" s="20">
        <f>SUM(K200:X200)</f>
        <v/>
      </c>
      <c r="Z200" s="33">
        <f>G200-Y200</f>
        <v/>
      </c>
      <c r="AA200" s="48">
        <f>INDEX($K$3:$X$3, MATCH(MAX(K200:X200), K200:X200, 0))</f>
        <v/>
      </c>
      <c r="AB200" s="49">
        <f>LARGE(K200:X200, 1) - LARGE(K200:X200, 2)</f>
        <v/>
      </c>
    </row>
    <row r="201" ht="19" customHeight="1">
      <c r="A201" s="34" t="n">
        <v>198</v>
      </c>
      <c r="B201" s="35" t="inlineStr">
        <is>
          <t>PRATHMIK VIDYALAYA ROOM NO. 1 ALIYARPUR URF JALALIYA</t>
        </is>
      </c>
      <c r="C201" s="36" t="n">
        <v>474</v>
      </c>
      <c r="D201" s="36" t="n">
        <v>179</v>
      </c>
      <c r="E201" s="36" t="n">
        <v>178</v>
      </c>
      <c r="F201" s="36" t="n">
        <v>0</v>
      </c>
      <c r="G201" s="36" t="n">
        <v>357</v>
      </c>
      <c r="H201" s="37">
        <f>G201/C201</f>
        <v/>
      </c>
      <c r="I201" s="36" t="n">
        <v>0</v>
      </c>
      <c r="J201" s="36" t="n">
        <v>0</v>
      </c>
      <c r="K201" s="36" t="n">
        <v>0</v>
      </c>
      <c r="L201" s="36" t="n">
        <v>135</v>
      </c>
      <c r="M201" s="36" t="n">
        <v>208</v>
      </c>
      <c r="N201" s="36" t="n">
        <v>12</v>
      </c>
      <c r="O201" s="36" t="n">
        <v>0</v>
      </c>
      <c r="P201" s="36" t="n">
        <v>0</v>
      </c>
      <c r="Q201" s="36" t="n">
        <v>0</v>
      </c>
      <c r="R201" s="36" t="n">
        <v>0</v>
      </c>
      <c r="S201" s="36" t="n">
        <v>0</v>
      </c>
      <c r="T201" s="36" t="n">
        <v>0</v>
      </c>
      <c r="U201" s="36" t="n">
        <v>0</v>
      </c>
      <c r="V201" s="36" t="n">
        <v>1</v>
      </c>
      <c r="W201" s="36" t="n">
        <v>1</v>
      </c>
      <c r="X201" s="36" t="n">
        <v>0</v>
      </c>
      <c r="Y201" s="38">
        <f>SUM(K201:X201)</f>
        <v/>
      </c>
      <c r="Z201" s="39">
        <f>G201-Y201</f>
        <v/>
      </c>
      <c r="AA201" s="50">
        <f>INDEX($K$3:$X$3, MATCH(MAX(K201:X201), K201:X201, 0))</f>
        <v/>
      </c>
      <c r="AB201" s="51">
        <f>LARGE(K201:X201, 1) - LARGE(K201:X201, 2)</f>
        <v/>
      </c>
    </row>
    <row r="202" ht="19" customHeight="1">
      <c r="A202" s="18" t="n">
        <v>199</v>
      </c>
      <c r="B202" s="19" t="inlineStr">
        <is>
          <t>PRATHMIK VIDYALAYA ROOM NO. 1 PITHORI</t>
        </is>
      </c>
      <c r="C202" s="31" t="n">
        <v>888</v>
      </c>
      <c r="D202" s="31" t="n">
        <v>338</v>
      </c>
      <c r="E202" s="31" t="n">
        <v>300</v>
      </c>
      <c r="F202" s="31" t="n">
        <v>0</v>
      </c>
      <c r="G202" s="31" t="n">
        <v>638</v>
      </c>
      <c r="H202" s="32">
        <f>G202/C202</f>
        <v/>
      </c>
      <c r="I202" s="31" t="n">
        <v>1</v>
      </c>
      <c r="J202" s="31" t="n">
        <v>0</v>
      </c>
      <c r="K202" s="31" t="n">
        <v>1</v>
      </c>
      <c r="L202" s="31" t="n">
        <v>296</v>
      </c>
      <c r="M202" s="31" t="n">
        <v>273</v>
      </c>
      <c r="N202" s="31" t="n">
        <v>51</v>
      </c>
      <c r="O202" s="31" t="n">
        <v>1</v>
      </c>
      <c r="P202" s="31" t="n">
        <v>0</v>
      </c>
      <c r="Q202" s="31" t="n">
        <v>0</v>
      </c>
      <c r="R202" s="31" t="n">
        <v>6</v>
      </c>
      <c r="S202" s="31" t="n">
        <v>0</v>
      </c>
      <c r="T202" s="31" t="n">
        <v>1</v>
      </c>
      <c r="U202" s="31" t="n">
        <v>2</v>
      </c>
      <c r="V202" s="31" t="n">
        <v>3</v>
      </c>
      <c r="W202" s="31" t="n">
        <v>1</v>
      </c>
      <c r="X202" s="31" t="n">
        <v>3</v>
      </c>
      <c r="Y202" s="20">
        <f>SUM(K202:X202)</f>
        <v/>
      </c>
      <c r="Z202" s="33">
        <f>G202-Y202</f>
        <v/>
      </c>
      <c r="AA202" s="48">
        <f>INDEX($K$3:$X$3, MATCH(MAX(K202:X202), K202:X202, 0))</f>
        <v/>
      </c>
      <c r="AB202" s="49">
        <f>LARGE(K202:X202, 1) - LARGE(K202:X202, 2)</f>
        <v/>
      </c>
    </row>
    <row r="203" ht="19" customHeight="1">
      <c r="A203" s="34" t="n">
        <v>200</v>
      </c>
      <c r="B203" s="35" t="inlineStr">
        <is>
          <t>PRATHMIK VIDYALAYA ROOM NO. 1 KHIRKA BHTKAWA</t>
        </is>
      </c>
      <c r="C203" s="36" t="n">
        <v>1024</v>
      </c>
      <c r="D203" s="36" t="n">
        <v>350</v>
      </c>
      <c r="E203" s="36" t="n">
        <v>255</v>
      </c>
      <c r="F203" s="36" t="n">
        <v>0</v>
      </c>
      <c r="G203" s="36" t="n">
        <v>605</v>
      </c>
      <c r="H203" s="37">
        <f>G203/C203</f>
        <v/>
      </c>
      <c r="I203" s="36" t="n">
        <v>172</v>
      </c>
      <c r="J203" s="36" t="n">
        <v>0</v>
      </c>
      <c r="K203" s="36" t="n">
        <v>7</v>
      </c>
      <c r="L203" s="36" t="n">
        <v>171</v>
      </c>
      <c r="M203" s="36" t="n">
        <v>361</v>
      </c>
      <c r="N203" s="36" t="n">
        <v>27</v>
      </c>
      <c r="O203" s="36" t="n">
        <v>10</v>
      </c>
      <c r="P203" s="36" t="n">
        <v>1</v>
      </c>
      <c r="Q203" s="36" t="n">
        <v>3</v>
      </c>
      <c r="R203" s="36" t="n">
        <v>2</v>
      </c>
      <c r="S203" s="36" t="n">
        <v>0</v>
      </c>
      <c r="T203" s="36" t="n">
        <v>4</v>
      </c>
      <c r="U203" s="36" t="n">
        <v>2</v>
      </c>
      <c r="V203" s="36" t="n">
        <v>9</v>
      </c>
      <c r="W203" s="36" t="n">
        <v>3</v>
      </c>
      <c r="X203" s="36" t="n">
        <v>5</v>
      </c>
      <c r="Y203" s="38">
        <f>SUM(K203:X203)</f>
        <v/>
      </c>
      <c r="Z203" s="39">
        <f>G203-Y203</f>
        <v/>
      </c>
      <c r="AA203" s="50">
        <f>INDEX($K$3:$X$3, MATCH(MAX(K203:X203), K203:X203, 0))</f>
        <v/>
      </c>
      <c r="AB203" s="51">
        <f>LARGE(K203:X203, 1) - LARGE(K203:X203, 2)</f>
        <v/>
      </c>
    </row>
    <row r="204" ht="19" customHeight="1">
      <c r="A204" s="18" t="n">
        <v>201</v>
      </c>
      <c r="B204" s="19" t="inlineStr">
        <is>
          <t>PRATHMIK VIDYALAYA ROOM NO. 3 KHIRKA BHTKAWA</t>
        </is>
      </c>
      <c r="C204" s="31" t="n">
        <v>722</v>
      </c>
      <c r="D204" s="31" t="n">
        <v>252</v>
      </c>
      <c r="E204" s="31" t="n">
        <v>211</v>
      </c>
      <c r="F204" s="31" t="n">
        <v>0</v>
      </c>
      <c r="G204" s="31" t="n">
        <v>463</v>
      </c>
      <c r="H204" s="32">
        <f>G204/C204</f>
        <v/>
      </c>
      <c r="I204" s="31" t="n">
        <v>3</v>
      </c>
      <c r="J204" s="31" t="n">
        <v>0</v>
      </c>
      <c r="K204" s="31" t="n">
        <v>4</v>
      </c>
      <c r="L204" s="31" t="n">
        <v>107</v>
      </c>
      <c r="M204" s="31" t="n">
        <v>239</v>
      </c>
      <c r="N204" s="31" t="n">
        <v>94</v>
      </c>
      <c r="O204" s="31" t="n">
        <v>0</v>
      </c>
      <c r="P204" s="31" t="n">
        <v>1</v>
      </c>
      <c r="Q204" s="31" t="n">
        <v>4</v>
      </c>
      <c r="R204" s="31" t="n">
        <v>3</v>
      </c>
      <c r="S204" s="31" t="n">
        <v>1</v>
      </c>
      <c r="T204" s="31" t="n">
        <v>0</v>
      </c>
      <c r="U204" s="31" t="n">
        <v>1</v>
      </c>
      <c r="V204" s="31" t="n">
        <v>2</v>
      </c>
      <c r="W204" s="31" t="n">
        <v>1</v>
      </c>
      <c r="X204" s="31" t="n">
        <v>6</v>
      </c>
      <c r="Y204" s="20">
        <f>SUM(K204:X204)</f>
        <v/>
      </c>
      <c r="Z204" s="33">
        <f>G204-Y204</f>
        <v/>
      </c>
      <c r="AA204" s="48">
        <f>INDEX($K$3:$X$3, MATCH(MAX(K204:X204), K204:X204, 0))</f>
        <v/>
      </c>
      <c r="AB204" s="49">
        <f>LARGE(K204:X204, 1) - LARGE(K204:X204, 2)</f>
        <v/>
      </c>
    </row>
    <row r="205" ht="19" customHeight="1">
      <c r="A205" s="34" t="n">
        <v>202</v>
      </c>
      <c r="B205" s="35" t="inlineStr">
        <is>
          <t>PRATHMIK VIDYALAYA ROOM NO. 2 KHIRKA BHTKAWA</t>
        </is>
      </c>
      <c r="C205" s="36" t="n">
        <v>825</v>
      </c>
      <c r="D205" s="36" t="n">
        <v>345</v>
      </c>
      <c r="E205" s="36" t="n">
        <v>246</v>
      </c>
      <c r="F205" s="36" t="n">
        <v>0</v>
      </c>
      <c r="G205" s="36" t="n">
        <v>591</v>
      </c>
      <c r="H205" s="37">
        <f>G205/C205</f>
        <v/>
      </c>
      <c r="I205" s="36" t="n">
        <v>8</v>
      </c>
      <c r="J205" s="36" t="n">
        <v>0</v>
      </c>
      <c r="K205" s="36" t="n">
        <v>1</v>
      </c>
      <c r="L205" s="36" t="n">
        <v>201</v>
      </c>
      <c r="M205" s="36" t="n">
        <v>301</v>
      </c>
      <c r="N205" s="36" t="n">
        <v>60</v>
      </c>
      <c r="O205" s="36" t="n">
        <v>4</v>
      </c>
      <c r="P205" s="36" t="n">
        <v>1</v>
      </c>
      <c r="Q205" s="36" t="n">
        <v>9</v>
      </c>
      <c r="R205" s="36" t="n">
        <v>0</v>
      </c>
      <c r="S205" s="36" t="n">
        <v>1</v>
      </c>
      <c r="T205" s="36" t="n">
        <v>0</v>
      </c>
      <c r="U205" s="36" t="n">
        <v>2</v>
      </c>
      <c r="V205" s="36" t="n">
        <v>5</v>
      </c>
      <c r="W205" s="36" t="n">
        <v>3</v>
      </c>
      <c r="X205" s="36" t="n">
        <v>3</v>
      </c>
      <c r="Y205" s="38">
        <f>SUM(K205:X205)</f>
        <v/>
      </c>
      <c r="Z205" s="39">
        <f>G205-Y205</f>
        <v/>
      </c>
      <c r="AA205" s="50">
        <f>INDEX($K$3:$X$3, MATCH(MAX(K205:X205), K205:X205, 0))</f>
        <v/>
      </c>
      <c r="AB205" s="51">
        <f>LARGE(K205:X205, 1) - LARGE(K205:X205, 2)</f>
        <v/>
      </c>
    </row>
    <row r="206" ht="19" customHeight="1">
      <c r="A206" s="18" t="n">
        <v>203</v>
      </c>
      <c r="B206" s="19" t="inlineStr">
        <is>
          <t>PRATHMIK VIDYALAYA ROOM NO. 4 KHIRKA BHTKAWA</t>
        </is>
      </c>
      <c r="C206" s="31" t="n">
        <v>765</v>
      </c>
      <c r="D206" s="31" t="n">
        <v>299</v>
      </c>
      <c r="E206" s="31" t="n">
        <v>241</v>
      </c>
      <c r="F206" s="31" t="n">
        <v>0</v>
      </c>
      <c r="G206" s="31" t="n">
        <v>540</v>
      </c>
      <c r="H206" s="32">
        <f>G206/C206</f>
        <v/>
      </c>
      <c r="I206" s="31" t="n">
        <v>0</v>
      </c>
      <c r="J206" s="31" t="n">
        <v>0</v>
      </c>
      <c r="K206" s="31" t="n">
        <v>1</v>
      </c>
      <c r="L206" s="31" t="n">
        <v>370</v>
      </c>
      <c r="M206" s="31" t="n">
        <v>140</v>
      </c>
      <c r="N206" s="31" t="n">
        <v>24</v>
      </c>
      <c r="O206" s="31" t="n">
        <v>1</v>
      </c>
      <c r="P206" s="31" t="n">
        <v>1</v>
      </c>
      <c r="Q206" s="31" t="n">
        <v>0</v>
      </c>
      <c r="R206" s="31" t="n">
        <v>0</v>
      </c>
      <c r="S206" s="31" t="n">
        <v>0</v>
      </c>
      <c r="T206" s="31" t="n">
        <v>0</v>
      </c>
      <c r="U206" s="31" t="n">
        <v>0</v>
      </c>
      <c r="V206" s="31" t="n">
        <v>0</v>
      </c>
      <c r="W206" s="31" t="n">
        <v>2</v>
      </c>
      <c r="X206" s="31" t="n">
        <v>1</v>
      </c>
      <c r="Y206" s="20">
        <f>SUM(K206:X206)</f>
        <v/>
      </c>
      <c r="Z206" s="33">
        <f>G206-Y206</f>
        <v/>
      </c>
      <c r="AA206" s="48">
        <f>INDEX($K$3:$X$3, MATCH(MAX(K206:X206), K206:X206, 0))</f>
        <v/>
      </c>
      <c r="AB206" s="49">
        <f>LARGE(K206:X206, 1) - LARGE(K206:X206, 2)</f>
        <v/>
      </c>
    </row>
    <row r="207" ht="19" customHeight="1">
      <c r="A207" s="34" t="n">
        <v>204</v>
      </c>
      <c r="B207" s="35" t="inlineStr">
        <is>
          <t>PRATHMIK VIDYALAYA ROOM NO. 1 ANWARPUR BAROLI</t>
        </is>
      </c>
      <c r="C207" s="36" t="n">
        <v>1071</v>
      </c>
      <c r="D207" s="36" t="n">
        <v>370</v>
      </c>
      <c r="E207" s="36" t="n">
        <v>390</v>
      </c>
      <c r="F207" s="36" t="n">
        <v>0</v>
      </c>
      <c r="G207" s="36" t="n">
        <v>760</v>
      </c>
      <c r="H207" s="37">
        <f>G207/C207</f>
        <v/>
      </c>
      <c r="I207" s="36" t="n">
        <v>0</v>
      </c>
      <c r="J207" s="36" t="n">
        <v>0</v>
      </c>
      <c r="K207" s="36" t="n">
        <v>2</v>
      </c>
      <c r="L207" s="36" t="n">
        <v>101</v>
      </c>
      <c r="M207" s="36" t="n">
        <v>201</v>
      </c>
      <c r="N207" s="36" t="n">
        <v>364</v>
      </c>
      <c r="O207" s="36" t="n">
        <v>4</v>
      </c>
      <c r="P207" s="36" t="n">
        <v>0</v>
      </c>
      <c r="Q207" s="36" t="n">
        <v>2</v>
      </c>
      <c r="R207" s="36" t="n">
        <v>66</v>
      </c>
      <c r="S207" s="36" t="n">
        <v>2</v>
      </c>
      <c r="T207" s="36" t="n">
        <v>7</v>
      </c>
      <c r="U207" s="36" t="n">
        <v>2</v>
      </c>
      <c r="V207" s="36" t="n">
        <v>4</v>
      </c>
      <c r="W207" s="36" t="n">
        <v>2</v>
      </c>
      <c r="X207" s="36" t="n">
        <v>3</v>
      </c>
      <c r="Y207" s="38">
        <f>SUM(K207:X207)</f>
        <v/>
      </c>
      <c r="Z207" s="39">
        <f>G207-Y207</f>
        <v/>
      </c>
      <c r="AA207" s="50">
        <f>INDEX($K$3:$X$3, MATCH(MAX(K207:X207), K207:X207, 0))</f>
        <v/>
      </c>
      <c r="AB207" s="51">
        <f>LARGE(K207:X207, 1) - LARGE(K207:X207, 2)</f>
        <v/>
      </c>
    </row>
    <row r="208" ht="19" customHeight="1">
      <c r="A208" s="18" t="n">
        <v>205</v>
      </c>
      <c r="B208" s="19" t="inlineStr">
        <is>
          <t>PRATHMIK VIDYALAYA ROOM NO. 1 SANSARPUR</t>
        </is>
      </c>
      <c r="C208" s="31" t="n">
        <v>1286</v>
      </c>
      <c r="D208" s="31" t="n">
        <v>500</v>
      </c>
      <c r="E208" s="31" t="n">
        <v>450</v>
      </c>
      <c r="F208" s="31" t="n">
        <v>0</v>
      </c>
      <c r="G208" s="31" t="n">
        <v>950</v>
      </c>
      <c r="H208" s="32">
        <f>G208/C208</f>
        <v/>
      </c>
      <c r="I208" s="31" t="n">
        <v>10</v>
      </c>
      <c r="J208" s="31" t="n">
        <v>0</v>
      </c>
      <c r="K208" s="31" t="n">
        <v>5</v>
      </c>
      <c r="L208" s="31" t="n">
        <v>382</v>
      </c>
      <c r="M208" s="31" t="n">
        <v>435</v>
      </c>
      <c r="N208" s="31" t="n">
        <v>63</v>
      </c>
      <c r="O208" s="31" t="n">
        <v>4</v>
      </c>
      <c r="P208" s="31" t="n">
        <v>6</v>
      </c>
      <c r="Q208" s="31" t="n">
        <v>28</v>
      </c>
      <c r="R208" s="31" t="n">
        <v>5</v>
      </c>
      <c r="S208" s="31" t="n">
        <v>1</v>
      </c>
      <c r="T208" s="31" t="n">
        <v>2</v>
      </c>
      <c r="U208" s="31" t="n">
        <v>2</v>
      </c>
      <c r="V208" s="31" t="n">
        <v>5</v>
      </c>
      <c r="W208" s="31" t="n">
        <v>3</v>
      </c>
      <c r="X208" s="31" t="n">
        <v>9</v>
      </c>
      <c r="Y208" s="20">
        <f>SUM(K208:X208)</f>
        <v/>
      </c>
      <c r="Z208" s="33">
        <f>G208-Y208</f>
        <v/>
      </c>
      <c r="AA208" s="48">
        <f>INDEX($K$3:$X$3, MATCH(MAX(K208:X208), K208:X208, 0))</f>
        <v/>
      </c>
      <c r="AB208" s="49">
        <f>LARGE(K208:X208, 1) - LARGE(K208:X208, 2)</f>
        <v/>
      </c>
    </row>
    <row r="209" ht="19" customHeight="1">
      <c r="A209" s="34" t="n">
        <v>206</v>
      </c>
      <c r="B209" s="35" t="inlineStr">
        <is>
          <t>PRATHMIK VIDYALAYA ROOM NO. 2 SANSARPUR</t>
        </is>
      </c>
      <c r="C209" s="36" t="n">
        <v>1056</v>
      </c>
      <c r="D209" s="36" t="n">
        <v>422</v>
      </c>
      <c r="E209" s="36" t="n">
        <v>342</v>
      </c>
      <c r="F209" s="36" t="n">
        <v>0</v>
      </c>
      <c r="G209" s="36" t="n">
        <v>764</v>
      </c>
      <c r="H209" s="37">
        <f>G209/C209</f>
        <v/>
      </c>
      <c r="I209" s="36" t="n">
        <v>0</v>
      </c>
      <c r="J209" s="36" t="n">
        <v>0</v>
      </c>
      <c r="K209" s="36" t="n">
        <v>2</v>
      </c>
      <c r="L209" s="36" t="n">
        <v>335</v>
      </c>
      <c r="M209" s="36" t="n">
        <v>323</v>
      </c>
      <c r="N209" s="36" t="n">
        <v>59</v>
      </c>
      <c r="O209" s="36" t="n">
        <v>3</v>
      </c>
      <c r="P209" s="36" t="n">
        <v>2</v>
      </c>
      <c r="Q209" s="36" t="n">
        <v>6</v>
      </c>
      <c r="R209" s="36" t="n">
        <v>1</v>
      </c>
      <c r="S209" s="36" t="n">
        <v>3</v>
      </c>
      <c r="T209" s="36" t="n">
        <v>3</v>
      </c>
      <c r="U209" s="36" t="n">
        <v>1</v>
      </c>
      <c r="V209" s="36" t="n">
        <v>6</v>
      </c>
      <c r="W209" s="36" t="n">
        <v>9</v>
      </c>
      <c r="X209" s="36" t="n">
        <v>11</v>
      </c>
      <c r="Y209" s="38">
        <f>SUM(K209:X209)</f>
        <v/>
      </c>
      <c r="Z209" s="39">
        <f>G209-Y209</f>
        <v/>
      </c>
      <c r="AA209" s="50">
        <f>INDEX($K$3:$X$3, MATCH(MAX(K209:X209), K209:X209, 0))</f>
        <v/>
      </c>
      <c r="AB209" s="51">
        <f>LARGE(K209:X209, 1) - LARGE(K209:X209, 2)</f>
        <v/>
      </c>
    </row>
    <row r="210" ht="19" customHeight="1">
      <c r="A210" s="18" t="n">
        <v>207</v>
      </c>
      <c r="B210" s="19" t="inlineStr">
        <is>
          <t>PRATHMIK VIDYALAYA ROOM NO. 1 ALAMPUR KALAN</t>
        </is>
      </c>
      <c r="C210" s="31" t="n">
        <v>1284</v>
      </c>
      <c r="D210" s="31" t="n">
        <v>500</v>
      </c>
      <c r="E210" s="31" t="n">
        <v>458</v>
      </c>
      <c r="F210" s="31" t="n">
        <v>0</v>
      </c>
      <c r="G210" s="31" t="n">
        <v>958</v>
      </c>
      <c r="H210" s="32">
        <f>G210/C210</f>
        <v/>
      </c>
      <c r="I210" s="31" t="n">
        <v>0</v>
      </c>
      <c r="J210" s="31" t="n">
        <v>0</v>
      </c>
      <c r="K210" s="31" t="n">
        <v>0</v>
      </c>
      <c r="L210" s="31" t="n">
        <v>410</v>
      </c>
      <c r="M210" s="31" t="n">
        <v>223</v>
      </c>
      <c r="N210" s="31" t="n">
        <v>290</v>
      </c>
      <c r="O210" s="31" t="n">
        <v>5</v>
      </c>
      <c r="P210" s="31" t="n">
        <v>2</v>
      </c>
      <c r="Q210" s="31" t="n">
        <v>0</v>
      </c>
      <c r="R210" s="31" t="n">
        <v>11</v>
      </c>
      <c r="S210" s="31" t="n">
        <v>0</v>
      </c>
      <c r="T210" s="31" t="n">
        <v>1</v>
      </c>
      <c r="U210" s="31" t="n">
        <v>2</v>
      </c>
      <c r="V210" s="31" t="n">
        <v>1</v>
      </c>
      <c r="W210" s="31" t="n">
        <v>7</v>
      </c>
      <c r="X210" s="31" t="n">
        <v>6</v>
      </c>
      <c r="Y210" s="20">
        <f>SUM(K210:X210)</f>
        <v/>
      </c>
      <c r="Z210" s="33">
        <f>G210-Y210</f>
        <v/>
      </c>
      <c r="AA210" s="48">
        <f>INDEX($K$3:$X$3, MATCH(MAX(K210:X210), K210:X210, 0))</f>
        <v/>
      </c>
      <c r="AB210" s="49">
        <f>LARGE(K210:X210, 1) - LARGE(K210:X210, 2)</f>
        <v/>
      </c>
    </row>
    <row r="211" ht="19" customHeight="1">
      <c r="A211" s="34" t="n">
        <v>208</v>
      </c>
      <c r="B211" s="35" t="inlineStr">
        <is>
          <t>PRATHMIK VIDYALAYA ROOM NO. 1 RAMPUR KALAN</t>
        </is>
      </c>
      <c r="C211" s="36" t="n">
        <v>1064</v>
      </c>
      <c r="D211" s="36" t="n">
        <v>422</v>
      </c>
      <c r="E211" s="36" t="n">
        <v>375</v>
      </c>
      <c r="F211" s="36" t="n">
        <v>0</v>
      </c>
      <c r="G211" s="36" t="n">
        <v>797</v>
      </c>
      <c r="H211" s="37">
        <f>G211/C211</f>
        <v/>
      </c>
      <c r="I211" s="36" t="n">
        <v>0</v>
      </c>
      <c r="J211" s="36" t="n">
        <v>0</v>
      </c>
      <c r="K211" s="36" t="n">
        <v>4</v>
      </c>
      <c r="L211" s="36" t="n">
        <v>128</v>
      </c>
      <c r="M211" s="36" t="n">
        <v>326</v>
      </c>
      <c r="N211" s="36" t="n">
        <v>305</v>
      </c>
      <c r="O211" s="36" t="n">
        <v>4</v>
      </c>
      <c r="P211" s="36" t="n">
        <v>0</v>
      </c>
      <c r="Q211" s="36" t="n">
        <v>2</v>
      </c>
      <c r="R211" s="36" t="n">
        <v>16</v>
      </c>
      <c r="S211" s="36" t="n">
        <v>1</v>
      </c>
      <c r="T211" s="36" t="n">
        <v>3</v>
      </c>
      <c r="U211" s="36" t="n">
        <v>2</v>
      </c>
      <c r="V211" s="36" t="n">
        <v>1</v>
      </c>
      <c r="W211" s="36" t="n">
        <v>3</v>
      </c>
      <c r="X211" s="36" t="n">
        <v>2</v>
      </c>
      <c r="Y211" s="38">
        <f>SUM(K211:X211)</f>
        <v/>
      </c>
      <c r="Z211" s="39">
        <f>G211-Y211</f>
        <v/>
      </c>
      <c r="AA211" s="50">
        <f>INDEX($K$3:$X$3, MATCH(MAX(K211:X211), K211:X211, 0))</f>
        <v/>
      </c>
      <c r="AB211" s="51">
        <f>LARGE(K211:X211, 1) - LARGE(K211:X211, 2)</f>
        <v/>
      </c>
    </row>
    <row r="212" ht="19" customHeight="1">
      <c r="A212" s="18" t="n">
        <v>209</v>
      </c>
      <c r="B212" s="19" t="inlineStr">
        <is>
          <t>PRATHMIK VIDYALAYA ROOM NO. 1 CHANDI</t>
        </is>
      </c>
      <c r="C212" s="31" t="n">
        <v>725</v>
      </c>
      <c r="D212" s="31" t="n">
        <v>304</v>
      </c>
      <c r="E212" s="31" t="n">
        <v>277</v>
      </c>
      <c r="F212" s="31" t="n">
        <v>0</v>
      </c>
      <c r="G212" s="31" t="n">
        <v>581</v>
      </c>
      <c r="H212" s="32">
        <f>G212/C212</f>
        <v/>
      </c>
      <c r="I212" s="31" t="n">
        <v>0</v>
      </c>
      <c r="J212" s="31" t="n">
        <v>0</v>
      </c>
      <c r="K212" s="31" t="n">
        <v>2</v>
      </c>
      <c r="L212" s="31" t="n">
        <v>181</v>
      </c>
      <c r="M212" s="31" t="n">
        <v>293</v>
      </c>
      <c r="N212" s="31" t="n">
        <v>87</v>
      </c>
      <c r="O212" s="31" t="n">
        <v>4</v>
      </c>
      <c r="P212" s="31" t="n">
        <v>0</v>
      </c>
      <c r="Q212" s="31" t="n">
        <v>2</v>
      </c>
      <c r="R212" s="31" t="n">
        <v>2</v>
      </c>
      <c r="S212" s="31" t="n">
        <v>0</v>
      </c>
      <c r="T212" s="31" t="n">
        <v>1</v>
      </c>
      <c r="U212" s="31" t="n">
        <v>2</v>
      </c>
      <c r="V212" s="31" t="n">
        <v>1</v>
      </c>
      <c r="W212" s="31" t="n">
        <v>2</v>
      </c>
      <c r="X212" s="31" t="n">
        <v>4</v>
      </c>
      <c r="Y212" s="20">
        <f>SUM(K212:X212)</f>
        <v/>
      </c>
      <c r="Z212" s="33">
        <f>G212-Y212</f>
        <v/>
      </c>
      <c r="AA212" s="48">
        <f>INDEX($K$3:$X$3, MATCH(MAX(K212:X212), K212:X212, 0))</f>
        <v/>
      </c>
      <c r="AB212" s="49">
        <f>LARGE(K212:X212, 1) - LARGE(K212:X212, 2)</f>
        <v/>
      </c>
    </row>
    <row r="213" ht="19" customHeight="1">
      <c r="A213" s="34" t="n">
        <v>210</v>
      </c>
      <c r="B213" s="35" t="inlineStr">
        <is>
          <t>PRATHMIK VIDYALAYA ROOM NO. 1 BHANKROD</t>
        </is>
      </c>
      <c r="C213" s="36" t="n">
        <v>742</v>
      </c>
      <c r="D213" s="36" t="n">
        <v>313</v>
      </c>
      <c r="E213" s="36" t="n">
        <v>305</v>
      </c>
      <c r="F213" s="36" t="n">
        <v>0</v>
      </c>
      <c r="G213" s="36" t="n">
        <v>618</v>
      </c>
      <c r="H213" s="37">
        <f>G213/C213</f>
        <v/>
      </c>
      <c r="I213" s="36" t="n">
        <v>1</v>
      </c>
      <c r="J213" s="36" t="n">
        <v>0</v>
      </c>
      <c r="K213" s="36" t="n">
        <v>1</v>
      </c>
      <c r="L213" s="36" t="n">
        <v>293</v>
      </c>
      <c r="M213" s="36" t="n">
        <v>176</v>
      </c>
      <c r="N213" s="36" t="n">
        <v>125</v>
      </c>
      <c r="O213" s="36" t="n">
        <v>2</v>
      </c>
      <c r="P213" s="36" t="n">
        <v>0</v>
      </c>
      <c r="Q213" s="36" t="n">
        <v>0</v>
      </c>
      <c r="R213" s="36" t="n">
        <v>8</v>
      </c>
      <c r="S213" s="36" t="n">
        <v>1</v>
      </c>
      <c r="T213" s="36" t="n">
        <v>4</v>
      </c>
      <c r="U213" s="36" t="n">
        <v>1</v>
      </c>
      <c r="V213" s="36" t="n">
        <v>1</v>
      </c>
      <c r="W213" s="36" t="n">
        <v>4</v>
      </c>
      <c r="X213" s="36" t="n">
        <v>2</v>
      </c>
      <c r="Y213" s="38">
        <f>SUM(K213:X213)</f>
        <v/>
      </c>
      <c r="Z213" s="39">
        <f>G213-Y213</f>
        <v/>
      </c>
      <c r="AA213" s="50">
        <f>INDEX($K$3:$X$3, MATCH(MAX(K213:X213), K213:X213, 0))</f>
        <v/>
      </c>
      <c r="AB213" s="51">
        <f>LARGE(K213:X213, 1) - LARGE(K213:X213, 2)</f>
        <v/>
      </c>
    </row>
    <row r="214" ht="19" customHeight="1">
      <c r="A214" s="18" t="n">
        <v>211</v>
      </c>
      <c r="B214" s="19" t="inlineStr">
        <is>
          <t>PRATHMIK VIDYALAYA ROOM NO. 1 KHURRMPUR NO. 2</t>
        </is>
      </c>
      <c r="C214" s="31" t="n">
        <v>1126</v>
      </c>
      <c r="D214" s="31" t="n">
        <v>421</v>
      </c>
      <c r="E214" s="31" t="n">
        <v>356</v>
      </c>
      <c r="F214" s="31" t="n">
        <v>0</v>
      </c>
      <c r="G214" s="31" t="n">
        <v>777</v>
      </c>
      <c r="H214" s="32">
        <f>G214/C214</f>
        <v/>
      </c>
      <c r="I214" s="31" t="n">
        <v>268</v>
      </c>
      <c r="J214" s="31" t="n">
        <v>0</v>
      </c>
      <c r="K214" s="31" t="n">
        <v>3</v>
      </c>
      <c r="L214" s="31" t="n">
        <v>44</v>
      </c>
      <c r="M214" s="31" t="n">
        <v>296</v>
      </c>
      <c r="N214" s="31" t="n">
        <v>367</v>
      </c>
      <c r="O214" s="31" t="n">
        <v>11</v>
      </c>
      <c r="P214" s="31" t="n">
        <v>1</v>
      </c>
      <c r="Q214" s="31" t="n">
        <v>1</v>
      </c>
      <c r="R214" s="31" t="n">
        <v>43</v>
      </c>
      <c r="S214" s="31" t="n">
        <v>2</v>
      </c>
      <c r="T214" s="31" t="n">
        <v>1</v>
      </c>
      <c r="U214" s="31" t="n">
        <v>5</v>
      </c>
      <c r="V214" s="31" t="n">
        <v>1</v>
      </c>
      <c r="W214" s="31" t="n">
        <v>1</v>
      </c>
      <c r="X214" s="31" t="n">
        <v>1</v>
      </c>
      <c r="Y214" s="20">
        <f>SUM(K214:X214)</f>
        <v/>
      </c>
      <c r="Z214" s="33">
        <f>G214-Y214</f>
        <v/>
      </c>
      <c r="AA214" s="48">
        <f>INDEX($K$3:$X$3, MATCH(MAX(K214:X214), K214:X214, 0))</f>
        <v/>
      </c>
      <c r="AB214" s="49">
        <f>LARGE(K214:X214, 1) - LARGE(K214:X214, 2)</f>
        <v/>
      </c>
    </row>
    <row r="215" ht="19" customHeight="1">
      <c r="A215" s="34" t="n">
        <v>212</v>
      </c>
      <c r="B215" s="35" t="inlineStr">
        <is>
          <t>PRATHMIK VIDYALAYA ROOM NO. 2 KHURRMPUR NO. 2</t>
        </is>
      </c>
      <c r="C215" s="36" t="n">
        <v>760</v>
      </c>
      <c r="D215" s="36" t="n">
        <v>319</v>
      </c>
      <c r="E215" s="36" t="n">
        <v>258</v>
      </c>
      <c r="F215" s="36" t="n">
        <v>0</v>
      </c>
      <c r="G215" s="36" t="n">
        <v>577</v>
      </c>
      <c r="H215" s="37">
        <f>G215/C215</f>
        <v/>
      </c>
      <c r="I215" s="36" t="n">
        <v>187</v>
      </c>
      <c r="J215" s="36" t="n">
        <v>0</v>
      </c>
      <c r="K215" s="36" t="n">
        <v>1</v>
      </c>
      <c r="L215" s="36" t="n">
        <v>205</v>
      </c>
      <c r="M215" s="36" t="n">
        <v>112</v>
      </c>
      <c r="N215" s="36" t="n">
        <v>217</v>
      </c>
      <c r="O215" s="36" t="n">
        <v>3</v>
      </c>
      <c r="P215" s="36" t="n">
        <v>1</v>
      </c>
      <c r="Q215" s="36" t="n">
        <v>0</v>
      </c>
      <c r="R215" s="36" t="n">
        <v>29</v>
      </c>
      <c r="S215" s="36" t="n">
        <v>0</v>
      </c>
      <c r="T215" s="36" t="n">
        <v>0</v>
      </c>
      <c r="U215" s="36" t="n">
        <v>3</v>
      </c>
      <c r="V215" s="36" t="n">
        <v>1</v>
      </c>
      <c r="W215" s="36" t="n">
        <v>4</v>
      </c>
      <c r="X215" s="36" t="n">
        <v>1</v>
      </c>
      <c r="Y215" s="38">
        <f>SUM(K215:X215)</f>
        <v/>
      </c>
      <c r="Z215" s="39">
        <f>G215-Y215</f>
        <v/>
      </c>
      <c r="AA215" s="50">
        <f>INDEX($K$3:$X$3, MATCH(MAX(K215:X215), K215:X215, 0))</f>
        <v/>
      </c>
      <c r="AB215" s="51">
        <f>LARGE(K215:X215, 1) - LARGE(K215:X215, 2)</f>
        <v/>
      </c>
    </row>
    <row r="216" ht="19" customHeight="1">
      <c r="A216" s="18" t="n">
        <v>213</v>
      </c>
      <c r="B216" s="19" t="inlineStr">
        <is>
          <t>PRATHMIK VIDYALAYA ROOM NO. 1 KABIRPUR</t>
        </is>
      </c>
      <c r="C216" s="31" t="n">
        <v>759</v>
      </c>
      <c r="D216" s="31" t="n">
        <v>360</v>
      </c>
      <c r="E216" s="31" t="n">
        <v>298</v>
      </c>
      <c r="F216" s="31" t="n">
        <v>0</v>
      </c>
      <c r="G216" s="31" t="n">
        <v>658</v>
      </c>
      <c r="H216" s="32">
        <f>G216/C216</f>
        <v/>
      </c>
      <c r="I216" s="31" t="n">
        <v>154</v>
      </c>
      <c r="J216" s="31" t="n">
        <v>0</v>
      </c>
      <c r="K216" s="31" t="n">
        <v>0</v>
      </c>
      <c r="L216" s="31" t="n">
        <v>72</v>
      </c>
      <c r="M216" s="31" t="n">
        <v>441</v>
      </c>
      <c r="N216" s="31" t="n">
        <v>121</v>
      </c>
      <c r="O216" s="31" t="n">
        <v>5</v>
      </c>
      <c r="P216" s="31" t="n">
        <v>0</v>
      </c>
      <c r="Q216" s="31" t="n">
        <v>0</v>
      </c>
      <c r="R216" s="31" t="n">
        <v>15</v>
      </c>
      <c r="S216" s="31" t="n">
        <v>0</v>
      </c>
      <c r="T216" s="31" t="n">
        <v>1</v>
      </c>
      <c r="U216" s="31" t="n">
        <v>0</v>
      </c>
      <c r="V216" s="31" t="n">
        <v>2</v>
      </c>
      <c r="W216" s="31" t="n">
        <v>0</v>
      </c>
      <c r="X216" s="31" t="n">
        <v>1</v>
      </c>
      <c r="Y216" s="20">
        <f>SUM(K216:X216)</f>
        <v/>
      </c>
      <c r="Z216" s="33">
        <f>G216-Y216</f>
        <v/>
      </c>
      <c r="AA216" s="48">
        <f>INDEX($K$3:$X$3, MATCH(MAX(K216:X216), K216:X216, 0))</f>
        <v/>
      </c>
      <c r="AB216" s="49">
        <f>LARGE(K216:X216, 1) - LARGE(K216:X216, 2)</f>
        <v/>
      </c>
    </row>
    <row r="217" ht="19" customHeight="1">
      <c r="A217" s="34" t="n">
        <v>214</v>
      </c>
      <c r="B217" s="35" t="inlineStr">
        <is>
          <t>PRATHMIK VIDYALAYA ROOM NO. 1 JAMALPUR</t>
        </is>
      </c>
      <c r="C217" s="36" t="n">
        <v>1012</v>
      </c>
      <c r="D217" s="36" t="n">
        <v>426</v>
      </c>
      <c r="E217" s="36" t="n">
        <v>447</v>
      </c>
      <c r="F217" s="36" t="n">
        <v>0</v>
      </c>
      <c r="G217" s="36" t="n">
        <v>873</v>
      </c>
      <c r="H217" s="37">
        <f>G217/C217</f>
        <v/>
      </c>
      <c r="I217" s="36" t="n">
        <v>1</v>
      </c>
      <c r="J217" s="36" t="n">
        <v>0</v>
      </c>
      <c r="K217" s="36" t="n">
        <v>4</v>
      </c>
      <c r="L217" s="36" t="n">
        <v>229</v>
      </c>
      <c r="M217" s="36" t="n">
        <v>541</v>
      </c>
      <c r="N217" s="36" t="n">
        <v>29</v>
      </c>
      <c r="O217" s="36" t="n">
        <v>2</v>
      </c>
      <c r="P217" s="36" t="n">
        <v>1</v>
      </c>
      <c r="Q217" s="36" t="n">
        <v>1</v>
      </c>
      <c r="R217" s="36" t="n">
        <v>41</v>
      </c>
      <c r="S217" s="36" t="n">
        <v>2</v>
      </c>
      <c r="T217" s="36" t="n">
        <v>1</v>
      </c>
      <c r="U217" s="36" t="n">
        <v>5</v>
      </c>
      <c r="V217" s="36" t="n">
        <v>7</v>
      </c>
      <c r="W217" s="36" t="n">
        <v>2</v>
      </c>
      <c r="X217" s="36" t="n">
        <v>8</v>
      </c>
      <c r="Y217" s="38">
        <f>SUM(K217:X217)</f>
        <v/>
      </c>
      <c r="Z217" s="39">
        <f>G217-Y217</f>
        <v/>
      </c>
      <c r="AA217" s="50">
        <f>INDEX($K$3:$X$3, MATCH(MAX(K217:X217), K217:X217, 0))</f>
        <v/>
      </c>
      <c r="AB217" s="51">
        <f>LARGE(K217:X217, 1) - LARGE(K217:X217, 2)</f>
        <v/>
      </c>
    </row>
    <row r="218" ht="19" customHeight="1">
      <c r="A218" s="18" t="n">
        <v>215</v>
      </c>
      <c r="B218" s="19" t="inlineStr">
        <is>
          <t>PRATHMIK VIDYALAYA ROOM NO. 1 NIYAMATPUR</t>
        </is>
      </c>
      <c r="C218" s="31" t="n">
        <v>1136</v>
      </c>
      <c r="D218" s="31" t="n">
        <v>442</v>
      </c>
      <c r="E218" s="31" t="n">
        <v>444</v>
      </c>
      <c r="F218" s="31" t="n">
        <v>0</v>
      </c>
      <c r="G218" s="31" t="n">
        <v>886</v>
      </c>
      <c r="H218" s="32">
        <f>G218/C218</f>
        <v/>
      </c>
      <c r="I218" s="31" t="n">
        <v>472</v>
      </c>
      <c r="J218" s="31" t="n">
        <v>0</v>
      </c>
      <c r="K218" s="31" t="n">
        <v>2</v>
      </c>
      <c r="L218" s="31" t="n">
        <v>310</v>
      </c>
      <c r="M218" s="31" t="n">
        <v>504</v>
      </c>
      <c r="N218" s="31" t="n">
        <v>31</v>
      </c>
      <c r="O218" s="31" t="n">
        <v>0</v>
      </c>
      <c r="P218" s="31" t="n">
        <v>3</v>
      </c>
      <c r="Q218" s="31" t="n">
        <v>6</v>
      </c>
      <c r="R218" s="31" t="n">
        <v>16</v>
      </c>
      <c r="S218" s="31" t="n">
        <v>2</v>
      </c>
      <c r="T218" s="31" t="n">
        <v>2</v>
      </c>
      <c r="U218" s="31" t="n">
        <v>2</v>
      </c>
      <c r="V218" s="31" t="n">
        <v>1</v>
      </c>
      <c r="W218" s="31" t="n">
        <v>1</v>
      </c>
      <c r="X218" s="31" t="n">
        <v>6</v>
      </c>
      <c r="Y218" s="20">
        <f>SUM(K218:X218)</f>
        <v/>
      </c>
      <c r="Z218" s="33">
        <f>G218-Y218</f>
        <v/>
      </c>
      <c r="AA218" s="48">
        <f>INDEX($K$3:$X$3, MATCH(MAX(K218:X218), K218:X218, 0))</f>
        <v/>
      </c>
      <c r="AB218" s="49">
        <f>LARGE(K218:X218, 1) - LARGE(K218:X218, 2)</f>
        <v/>
      </c>
    </row>
    <row r="219" ht="19" customHeight="1">
      <c r="A219" s="34" t="n">
        <v>216</v>
      </c>
      <c r="B219" s="35" t="inlineStr">
        <is>
          <t>PRATHMIK VIDYALAYA ROOM NO. 1 PATHLOKER</t>
        </is>
      </c>
      <c r="C219" s="36" t="n">
        <v>1014</v>
      </c>
      <c r="D219" s="36" t="n">
        <v>390</v>
      </c>
      <c r="E219" s="36" t="n">
        <v>379</v>
      </c>
      <c r="F219" s="36" t="n">
        <v>0</v>
      </c>
      <c r="G219" s="36" t="n">
        <v>769</v>
      </c>
      <c r="H219" s="37">
        <f>G219/C219</f>
        <v/>
      </c>
      <c r="I219" s="36" t="n">
        <v>2</v>
      </c>
      <c r="J219" s="36" t="n">
        <v>0</v>
      </c>
      <c r="K219" s="36" t="n">
        <v>2</v>
      </c>
      <c r="L219" s="36" t="n">
        <v>130</v>
      </c>
      <c r="M219" s="36" t="n">
        <v>559</v>
      </c>
      <c r="N219" s="36" t="n">
        <v>53</v>
      </c>
      <c r="O219" s="36" t="n">
        <v>1</v>
      </c>
      <c r="P219" s="36" t="n">
        <v>0</v>
      </c>
      <c r="Q219" s="36" t="n">
        <v>2</v>
      </c>
      <c r="R219" s="36" t="n">
        <v>0</v>
      </c>
      <c r="S219" s="36" t="n">
        <v>1</v>
      </c>
      <c r="T219" s="36" t="n">
        <v>0</v>
      </c>
      <c r="U219" s="36" t="n">
        <v>4</v>
      </c>
      <c r="V219" s="36" t="n">
        <v>7</v>
      </c>
      <c r="W219" s="36" t="n">
        <v>2</v>
      </c>
      <c r="X219" s="36" t="n">
        <v>8</v>
      </c>
      <c r="Y219" s="38">
        <f>SUM(K219:X219)</f>
        <v/>
      </c>
      <c r="Z219" s="39">
        <f>G219-Y219</f>
        <v/>
      </c>
      <c r="AA219" s="50">
        <f>INDEX($K$3:$X$3, MATCH(MAX(K219:X219), K219:X219, 0))</f>
        <v/>
      </c>
      <c r="AB219" s="51">
        <f>LARGE(K219:X219, 1) - LARGE(K219:X219, 2)</f>
        <v/>
      </c>
    </row>
    <row r="220" ht="19" customHeight="1">
      <c r="A220" s="18" t="n">
        <v>217</v>
      </c>
      <c r="B220" s="19" t="inlineStr">
        <is>
          <t>PRATHMIK VIDYALAYA ROOM NO. 2 PATHLOKER</t>
        </is>
      </c>
      <c r="C220" s="31" t="n">
        <v>686</v>
      </c>
      <c r="D220" s="31" t="n">
        <v>304</v>
      </c>
      <c r="E220" s="31" t="n">
        <v>270</v>
      </c>
      <c r="F220" s="31" t="n">
        <v>0</v>
      </c>
      <c r="G220" s="31" t="n">
        <v>574</v>
      </c>
      <c r="H220" s="32">
        <f>G220/C220</f>
        <v/>
      </c>
      <c r="I220" s="31" t="n">
        <v>4</v>
      </c>
      <c r="J220" s="31" t="n">
        <v>0</v>
      </c>
      <c r="K220" s="31" t="n">
        <v>2</v>
      </c>
      <c r="L220" s="31" t="n">
        <v>350</v>
      </c>
      <c r="M220" s="31" t="n">
        <v>38</v>
      </c>
      <c r="N220" s="31" t="n">
        <v>155</v>
      </c>
      <c r="O220" s="31" t="n">
        <v>6</v>
      </c>
      <c r="P220" s="31" t="n">
        <v>2</v>
      </c>
      <c r="Q220" s="31" t="n">
        <v>1</v>
      </c>
      <c r="R220" s="31" t="n">
        <v>2</v>
      </c>
      <c r="S220" s="31" t="n">
        <v>1</v>
      </c>
      <c r="T220" s="31" t="n">
        <v>3</v>
      </c>
      <c r="U220" s="31" t="n">
        <v>1</v>
      </c>
      <c r="V220" s="31" t="n">
        <v>4</v>
      </c>
      <c r="W220" s="31" t="n">
        <v>4</v>
      </c>
      <c r="X220" s="31" t="n">
        <v>5</v>
      </c>
      <c r="Y220" s="20">
        <f>SUM(K220:X220)</f>
        <v/>
      </c>
      <c r="Z220" s="33">
        <f>G220-Y220</f>
        <v/>
      </c>
      <c r="AA220" s="48">
        <f>INDEX($K$3:$X$3, MATCH(MAX(K220:X220), K220:X220, 0))</f>
        <v/>
      </c>
      <c r="AB220" s="49">
        <f>LARGE(K220:X220, 1) - LARGE(K220:X220, 2)</f>
        <v/>
      </c>
    </row>
    <row r="221" ht="19" customHeight="1">
      <c r="A221" s="34" t="n">
        <v>218</v>
      </c>
      <c r="B221" s="35" t="inlineStr">
        <is>
          <t>PRATHMIK VIDYALAYA ROOM NO. 1 MUSTFAPUR</t>
        </is>
      </c>
      <c r="C221" s="36" t="n">
        <v>779</v>
      </c>
      <c r="D221" s="36" t="n">
        <v>340</v>
      </c>
      <c r="E221" s="36" t="n">
        <v>300</v>
      </c>
      <c r="F221" s="36" t="n">
        <v>0</v>
      </c>
      <c r="G221" s="36" t="n">
        <v>640</v>
      </c>
      <c r="H221" s="37">
        <f>G221/C221</f>
        <v/>
      </c>
      <c r="I221" s="36" t="n">
        <v>20</v>
      </c>
      <c r="J221" s="36" t="n">
        <v>0</v>
      </c>
      <c r="K221" s="36" t="n">
        <v>2</v>
      </c>
      <c r="L221" s="36" t="n">
        <v>310</v>
      </c>
      <c r="M221" s="36" t="n">
        <v>273</v>
      </c>
      <c r="N221" s="36" t="n">
        <v>36</v>
      </c>
      <c r="O221" s="36" t="n">
        <v>0</v>
      </c>
      <c r="P221" s="36" t="n">
        <v>1</v>
      </c>
      <c r="Q221" s="36" t="n">
        <v>1</v>
      </c>
      <c r="R221" s="36" t="n">
        <v>2</v>
      </c>
      <c r="S221" s="36" t="n">
        <v>0</v>
      </c>
      <c r="T221" s="36" t="n">
        <v>0</v>
      </c>
      <c r="U221" s="36" t="n">
        <v>1</v>
      </c>
      <c r="V221" s="36" t="n">
        <v>0</v>
      </c>
      <c r="W221" s="36" t="n">
        <v>13</v>
      </c>
      <c r="X221" s="36" t="n">
        <v>1</v>
      </c>
      <c r="Y221" s="38">
        <f>SUM(K221:X221)</f>
        <v/>
      </c>
      <c r="Z221" s="39">
        <f>G221-Y221</f>
        <v/>
      </c>
      <c r="AA221" s="50">
        <f>INDEX($K$3:$X$3, MATCH(MAX(K221:X221), K221:X221, 0))</f>
        <v/>
      </c>
      <c r="AB221" s="51">
        <f>LARGE(K221:X221, 1) - LARGE(K221:X221, 2)</f>
        <v/>
      </c>
    </row>
    <row r="222" ht="19" customHeight="1">
      <c r="A222" s="18" t="n">
        <v>219</v>
      </c>
      <c r="B222" s="19" t="inlineStr">
        <is>
          <t>PRATHMIK VIDYALAYA ROOM NO. 1 BHOOLNI</t>
        </is>
      </c>
      <c r="C222" s="31" t="n">
        <v>1147</v>
      </c>
      <c r="D222" s="31" t="n">
        <v>429</v>
      </c>
      <c r="E222" s="31" t="n">
        <v>402</v>
      </c>
      <c r="F222" s="31" t="n">
        <v>0</v>
      </c>
      <c r="G222" s="31" t="n">
        <v>831</v>
      </c>
      <c r="H222" s="32">
        <f>G222/C222</f>
        <v/>
      </c>
      <c r="I222" s="31" t="n">
        <v>6</v>
      </c>
      <c r="J222" s="31" t="n">
        <v>0</v>
      </c>
      <c r="K222" s="31" t="n">
        <v>3</v>
      </c>
      <c r="L222" s="31" t="n">
        <v>282</v>
      </c>
      <c r="M222" s="31" t="n">
        <v>332</v>
      </c>
      <c r="N222" s="31" t="n">
        <v>184</v>
      </c>
      <c r="O222" s="31" t="n">
        <v>5</v>
      </c>
      <c r="P222" s="31" t="n">
        <v>1</v>
      </c>
      <c r="Q222" s="31" t="n">
        <v>1</v>
      </c>
      <c r="R222" s="31" t="n">
        <v>10</v>
      </c>
      <c r="S222" s="31" t="n">
        <v>0</v>
      </c>
      <c r="T222" s="31" t="n">
        <v>3</v>
      </c>
      <c r="U222" s="31" t="n">
        <v>2</v>
      </c>
      <c r="V222" s="31" t="n">
        <v>0</v>
      </c>
      <c r="W222" s="31" t="n">
        <v>4</v>
      </c>
      <c r="X222" s="31" t="n">
        <v>4</v>
      </c>
      <c r="Y222" s="20">
        <f>SUM(K222:X222)</f>
        <v/>
      </c>
      <c r="Z222" s="33">
        <f>G222-Y222</f>
        <v/>
      </c>
      <c r="AA222" s="48">
        <f>INDEX($K$3:$X$3, MATCH(MAX(K222:X222), K222:X222, 0))</f>
        <v/>
      </c>
      <c r="AB222" s="49">
        <f>LARGE(K222:X222, 1) - LARGE(K222:X222, 2)</f>
        <v/>
      </c>
    </row>
    <row r="223" ht="19" customHeight="1">
      <c r="A223" s="34" t="n">
        <v>220</v>
      </c>
      <c r="B223" s="35" t="inlineStr">
        <is>
          <t>PRATHMIK VIDYALAYA ROOM NO. 1 JHIJHOLI MHAMOODPUR</t>
        </is>
      </c>
      <c r="C223" s="36" t="n">
        <v>1416</v>
      </c>
      <c r="D223" s="36" t="n">
        <v>500</v>
      </c>
      <c r="E223" s="36" t="n">
        <v>490</v>
      </c>
      <c r="F223" s="36" t="n">
        <v>0</v>
      </c>
      <c r="G223" s="36" t="n">
        <v>990</v>
      </c>
      <c r="H223" s="37">
        <f>G223/C223</f>
        <v/>
      </c>
      <c r="I223" s="36" t="n">
        <v>51</v>
      </c>
      <c r="J223" s="36" t="n">
        <v>0</v>
      </c>
      <c r="K223" s="36" t="n">
        <v>1</v>
      </c>
      <c r="L223" s="36" t="n">
        <v>153</v>
      </c>
      <c r="M223" s="36" t="n">
        <v>306</v>
      </c>
      <c r="N223" s="36" t="n">
        <v>475</v>
      </c>
      <c r="O223" s="36" t="n">
        <v>14</v>
      </c>
      <c r="P223" s="36" t="n">
        <v>2</v>
      </c>
      <c r="Q223" s="36" t="n">
        <v>1</v>
      </c>
      <c r="R223" s="36" t="n">
        <v>10</v>
      </c>
      <c r="S223" s="36" t="n">
        <v>0</v>
      </c>
      <c r="T223" s="36" t="n">
        <v>7</v>
      </c>
      <c r="U223" s="36" t="n">
        <v>4</v>
      </c>
      <c r="V223" s="36" t="n">
        <v>11</v>
      </c>
      <c r="W223" s="36" t="n">
        <v>3</v>
      </c>
      <c r="X223" s="36" t="n">
        <v>3</v>
      </c>
      <c r="Y223" s="38">
        <f>SUM(K223:X223)</f>
        <v/>
      </c>
      <c r="Z223" s="39">
        <f>G223-Y223</f>
        <v/>
      </c>
      <c r="AA223" s="50">
        <f>INDEX($K$3:$X$3, MATCH(MAX(K223:X223), K223:X223, 0))</f>
        <v/>
      </c>
      <c r="AB223" s="51">
        <f>LARGE(K223:X223, 1) - LARGE(K223:X223, 2)</f>
        <v/>
      </c>
    </row>
    <row r="224" ht="19" customHeight="1">
      <c r="A224" s="18" t="n">
        <v>221</v>
      </c>
      <c r="B224" s="19" t="inlineStr">
        <is>
          <t>PRATHMIK VIDYALAYA ROOM NO. 2 JHIJHOLI MHAMOODPUR</t>
        </is>
      </c>
      <c r="C224" s="31" t="n">
        <v>961</v>
      </c>
      <c r="D224" s="31" t="n">
        <v>326</v>
      </c>
      <c r="E224" s="31" t="n">
        <v>297</v>
      </c>
      <c r="F224" s="31" t="n">
        <v>0</v>
      </c>
      <c r="G224" s="31" t="n">
        <v>623</v>
      </c>
      <c r="H224" s="32">
        <f>G224/C224</f>
        <v/>
      </c>
      <c r="I224" s="31" t="n">
        <v>114</v>
      </c>
      <c r="J224" s="31" t="n">
        <v>0</v>
      </c>
      <c r="K224" s="31" t="n">
        <v>1</v>
      </c>
      <c r="L224" s="31" t="n">
        <v>338</v>
      </c>
      <c r="M224" s="31" t="n">
        <v>250</v>
      </c>
      <c r="N224" s="31" t="n">
        <v>22</v>
      </c>
      <c r="O224" s="31" t="n">
        <v>0</v>
      </c>
      <c r="P224" s="31" t="n">
        <v>2</v>
      </c>
      <c r="Q224" s="31" t="n">
        <v>0</v>
      </c>
      <c r="R224" s="31" t="n">
        <v>3</v>
      </c>
      <c r="S224" s="31" t="n">
        <v>0</v>
      </c>
      <c r="T224" s="31" t="n">
        <v>0</v>
      </c>
      <c r="U224" s="31" t="n">
        <v>1</v>
      </c>
      <c r="V224" s="31" t="n">
        <v>1</v>
      </c>
      <c r="W224" s="31" t="n">
        <v>2</v>
      </c>
      <c r="X224" s="31" t="n">
        <v>3</v>
      </c>
      <c r="Y224" s="20">
        <f>SUM(K224:X224)</f>
        <v/>
      </c>
      <c r="Z224" s="33">
        <f>G224-Y224</f>
        <v/>
      </c>
      <c r="AA224" s="48">
        <f>INDEX($K$3:$X$3, MATCH(MAX(K224:X224), K224:X224, 0))</f>
        <v/>
      </c>
      <c r="AB224" s="49">
        <f>LARGE(K224:X224, 1) - LARGE(K224:X224, 2)</f>
        <v/>
      </c>
    </row>
    <row r="225" ht="19" customHeight="1">
      <c r="A225" s="34" t="n">
        <v>222</v>
      </c>
      <c r="B225" s="35" t="inlineStr">
        <is>
          <t>PRATHMIK VIDYALAYA ROOM NO. 1 KARONDI</t>
        </is>
      </c>
      <c r="C225" s="36" t="n">
        <v>1391</v>
      </c>
      <c r="D225" s="36" t="n">
        <v>543</v>
      </c>
      <c r="E225" s="36" t="n">
        <v>506</v>
      </c>
      <c r="F225" s="36" t="n">
        <v>0</v>
      </c>
      <c r="G225" s="36" t="n">
        <v>1049</v>
      </c>
      <c r="H225" s="37">
        <f>G225/C225</f>
        <v/>
      </c>
      <c r="I225" s="36" t="n">
        <v>90</v>
      </c>
      <c r="J225" s="36" t="n">
        <v>0</v>
      </c>
      <c r="K225" s="36" t="n">
        <v>6</v>
      </c>
      <c r="L225" s="36" t="n">
        <v>550</v>
      </c>
      <c r="M225" s="36" t="n">
        <v>127</v>
      </c>
      <c r="N225" s="36" t="n">
        <v>331</v>
      </c>
      <c r="O225" s="36" t="n">
        <v>3</v>
      </c>
      <c r="P225" s="36" t="n">
        <v>1</v>
      </c>
      <c r="Q225" s="36" t="n">
        <v>0</v>
      </c>
      <c r="R225" s="36" t="n">
        <v>10</v>
      </c>
      <c r="S225" s="36" t="n">
        <v>1</v>
      </c>
      <c r="T225" s="36" t="n">
        <v>2</v>
      </c>
      <c r="U225" s="36" t="n">
        <v>1</v>
      </c>
      <c r="V225" s="36" t="n">
        <v>5</v>
      </c>
      <c r="W225" s="36" t="n">
        <v>4</v>
      </c>
      <c r="X225" s="36" t="n">
        <v>8</v>
      </c>
      <c r="Y225" s="38">
        <f>SUM(K225:X225)</f>
        <v/>
      </c>
      <c r="Z225" s="39">
        <f>G225-Y225</f>
        <v/>
      </c>
      <c r="AA225" s="50">
        <f>INDEX($K$3:$X$3, MATCH(MAX(K225:X225), K225:X225, 0))</f>
        <v/>
      </c>
      <c r="AB225" s="51">
        <f>LARGE(K225:X225, 1) - LARGE(K225:X225, 2)</f>
        <v/>
      </c>
    </row>
    <row r="226" ht="19" customHeight="1">
      <c r="A226" s="18" t="n">
        <v>223</v>
      </c>
      <c r="B226" s="19" t="inlineStr">
        <is>
          <t>PRATHMIK VIDYALAYA ROOM NO. 1 MIRZAPUR PUJNAKI</t>
        </is>
      </c>
      <c r="C226" s="31" t="n">
        <v>791</v>
      </c>
      <c r="D226" s="31" t="n">
        <v>291</v>
      </c>
      <c r="E226" s="31" t="n">
        <v>260</v>
      </c>
      <c r="F226" s="31" t="n">
        <v>0</v>
      </c>
      <c r="G226" s="31" t="n">
        <v>551</v>
      </c>
      <c r="H226" s="32">
        <f>G226/C226</f>
        <v/>
      </c>
      <c r="I226" s="31" t="n">
        <v>4</v>
      </c>
      <c r="J226" s="31" t="n">
        <v>0</v>
      </c>
      <c r="K226" s="31" t="n">
        <v>1</v>
      </c>
      <c r="L226" s="31" t="n">
        <v>208</v>
      </c>
      <c r="M226" s="31" t="n">
        <v>26</v>
      </c>
      <c r="N226" s="31" t="n">
        <v>284</v>
      </c>
      <c r="O226" s="31" t="n">
        <v>1</v>
      </c>
      <c r="P226" s="31" t="n">
        <v>0</v>
      </c>
      <c r="Q226" s="31" t="n">
        <v>0</v>
      </c>
      <c r="R226" s="31" t="n">
        <v>22</v>
      </c>
      <c r="S226" s="31" t="n">
        <v>0</v>
      </c>
      <c r="T226" s="31" t="n">
        <v>2</v>
      </c>
      <c r="U226" s="31" t="n">
        <v>1</v>
      </c>
      <c r="V226" s="31" t="n">
        <v>1</v>
      </c>
      <c r="W226" s="31" t="n">
        <v>1</v>
      </c>
      <c r="X226" s="31" t="n">
        <v>4</v>
      </c>
      <c r="Y226" s="20">
        <f>SUM(K226:X226)</f>
        <v/>
      </c>
      <c r="Z226" s="33">
        <f>G226-Y226</f>
        <v/>
      </c>
      <c r="AA226" s="48">
        <f>INDEX($K$3:$X$3, MATCH(MAX(K226:X226), K226:X226, 0))</f>
        <v/>
      </c>
      <c r="AB226" s="49">
        <f>LARGE(K226:X226, 1) - LARGE(K226:X226, 2)</f>
        <v/>
      </c>
    </row>
    <row r="227" ht="19" customHeight="1">
      <c r="A227" s="34" t="n">
        <v>224</v>
      </c>
      <c r="B227" s="35" t="inlineStr">
        <is>
          <t>PRATHMIK VIDYALAYA ROOM NO. 1 MUSAIL</t>
        </is>
      </c>
      <c r="C227" s="36" t="n">
        <v>788</v>
      </c>
      <c r="D227" s="36" t="n">
        <v>308</v>
      </c>
      <c r="E227" s="36" t="n">
        <v>278</v>
      </c>
      <c r="F227" s="36" t="n">
        <v>0</v>
      </c>
      <c r="G227" s="36" t="n">
        <v>586</v>
      </c>
      <c r="H227" s="37">
        <f>G227/C227</f>
        <v/>
      </c>
      <c r="I227" s="36" t="n">
        <v>0</v>
      </c>
      <c r="J227" s="36" t="n">
        <v>0</v>
      </c>
      <c r="K227" s="36" t="n">
        <v>1</v>
      </c>
      <c r="L227" s="36" t="n">
        <v>23</v>
      </c>
      <c r="M227" s="36" t="n">
        <v>241</v>
      </c>
      <c r="N227" s="36" t="n">
        <v>305</v>
      </c>
      <c r="O227" s="36" t="n">
        <v>5</v>
      </c>
      <c r="P227" s="36" t="n">
        <v>1</v>
      </c>
      <c r="Q227" s="36" t="n">
        <v>0</v>
      </c>
      <c r="R227" s="36" t="n">
        <v>5</v>
      </c>
      <c r="S227" s="36" t="n">
        <v>0</v>
      </c>
      <c r="T227" s="36" t="n">
        <v>1</v>
      </c>
      <c r="U227" s="36" t="n">
        <v>1</v>
      </c>
      <c r="V227" s="36" t="n">
        <v>2</v>
      </c>
      <c r="W227" s="36" t="n">
        <v>0</v>
      </c>
      <c r="X227" s="36" t="n">
        <v>1</v>
      </c>
      <c r="Y227" s="38">
        <f>SUM(K227:X227)</f>
        <v/>
      </c>
      <c r="Z227" s="39">
        <f>G227-Y227</f>
        <v/>
      </c>
      <c r="AA227" s="50">
        <f>INDEX($K$3:$X$3, MATCH(MAX(K227:X227), K227:X227, 0))</f>
        <v/>
      </c>
      <c r="AB227" s="51">
        <f>LARGE(K227:X227, 1) - LARGE(K227:X227, 2)</f>
        <v/>
      </c>
    </row>
    <row r="228" ht="19" customHeight="1">
      <c r="A228" s="18" t="n">
        <v>225</v>
      </c>
      <c r="B228" s="19" t="inlineStr">
        <is>
          <t>PRATHMIK VIDYALAYA ROOM NO. 2 MUSAIL</t>
        </is>
      </c>
      <c r="C228" s="31" t="n">
        <v>771</v>
      </c>
      <c r="D228" s="31" t="n">
        <v>279</v>
      </c>
      <c r="E228" s="31" t="n">
        <v>260</v>
      </c>
      <c r="F228" s="31" t="n">
        <v>0</v>
      </c>
      <c r="G228" s="31" t="n">
        <v>539</v>
      </c>
      <c r="H228" s="32">
        <f>G228/C228</f>
        <v/>
      </c>
      <c r="I228" s="31" t="n">
        <v>0</v>
      </c>
      <c r="J228" s="31" t="n">
        <v>0</v>
      </c>
      <c r="K228" s="31" t="n">
        <v>4</v>
      </c>
      <c r="L228" s="31" t="n">
        <v>71</v>
      </c>
      <c r="M228" s="31" t="n">
        <v>106</v>
      </c>
      <c r="N228" s="31" t="n">
        <v>354</v>
      </c>
      <c r="O228" s="31" t="n">
        <v>0</v>
      </c>
      <c r="P228" s="31" t="n">
        <v>0</v>
      </c>
      <c r="Q228" s="31" t="n">
        <v>1</v>
      </c>
      <c r="R228" s="31" t="n">
        <v>0</v>
      </c>
      <c r="S228" s="31" t="n">
        <v>0</v>
      </c>
      <c r="T228" s="31" t="n">
        <v>1</v>
      </c>
      <c r="U228" s="31" t="n">
        <v>2</v>
      </c>
      <c r="V228" s="31" t="n">
        <v>0</v>
      </c>
      <c r="W228" s="31" t="n">
        <v>0</v>
      </c>
      <c r="X228" s="31" t="n">
        <v>0</v>
      </c>
      <c r="Y228" s="20">
        <f>SUM(K228:X228)</f>
        <v/>
      </c>
      <c r="Z228" s="33">
        <f>G228-Y228</f>
        <v/>
      </c>
      <c r="AA228" s="48">
        <f>INDEX($K$3:$X$3, MATCH(MAX(K228:X228), K228:X228, 0))</f>
        <v/>
      </c>
      <c r="AB228" s="49">
        <f>LARGE(K228:X228, 1) - LARGE(K228:X228, 2)</f>
        <v/>
      </c>
    </row>
    <row r="229" ht="19" customHeight="1">
      <c r="A229" s="34" t="n">
        <v>226</v>
      </c>
      <c r="B229" s="35" t="inlineStr">
        <is>
          <t>PRATHMIK VIDYALAYA ROOM NO. 3 MUSAIL</t>
        </is>
      </c>
      <c r="C229" s="36" t="n">
        <v>770</v>
      </c>
      <c r="D229" s="36" t="n">
        <v>311</v>
      </c>
      <c r="E229" s="36" t="n">
        <v>277</v>
      </c>
      <c r="F229" s="36" t="n">
        <v>0</v>
      </c>
      <c r="G229" s="36" t="n">
        <v>588</v>
      </c>
      <c r="H229" s="37">
        <f>G229/C229</f>
        <v/>
      </c>
      <c r="I229" s="36" t="n">
        <v>0</v>
      </c>
      <c r="J229" s="36" t="n">
        <v>0</v>
      </c>
      <c r="K229" s="36" t="n">
        <v>5</v>
      </c>
      <c r="L229" s="36" t="n">
        <v>347</v>
      </c>
      <c r="M229" s="36" t="n">
        <v>154</v>
      </c>
      <c r="N229" s="36" t="n">
        <v>60</v>
      </c>
      <c r="O229" s="36" t="n">
        <v>3</v>
      </c>
      <c r="P229" s="36" t="n">
        <v>0</v>
      </c>
      <c r="Q229" s="36" t="n">
        <v>0</v>
      </c>
      <c r="R229" s="36" t="n">
        <v>1</v>
      </c>
      <c r="S229" s="36" t="n">
        <v>0</v>
      </c>
      <c r="T229" s="36" t="n">
        <v>1</v>
      </c>
      <c r="U229" s="36" t="n">
        <v>1</v>
      </c>
      <c r="V229" s="36" t="n">
        <v>4</v>
      </c>
      <c r="W229" s="36" t="n">
        <v>6</v>
      </c>
      <c r="X229" s="36" t="n">
        <v>6</v>
      </c>
      <c r="Y229" s="38">
        <f>SUM(K229:X229)</f>
        <v/>
      </c>
      <c r="Z229" s="39">
        <f>G229-Y229</f>
        <v/>
      </c>
      <c r="AA229" s="50">
        <f>INDEX($K$3:$X$3, MATCH(MAX(K229:X229), K229:X229, 0))</f>
        <v/>
      </c>
      <c r="AB229" s="51">
        <f>LARGE(K229:X229, 1) - LARGE(K229:X229, 2)</f>
        <v/>
      </c>
    </row>
    <row r="230" ht="19" customHeight="1">
      <c r="A230" s="18" t="n">
        <v>227</v>
      </c>
      <c r="B230" s="19" t="inlineStr">
        <is>
          <t>PRATHMIK VIDYALAYA ROOM NO. 1 MOHAMMADPUR KANDHELA</t>
        </is>
      </c>
      <c r="C230" s="31" t="n">
        <v>1080</v>
      </c>
      <c r="D230" s="31" t="n">
        <v>473</v>
      </c>
      <c r="E230" s="31" t="n">
        <v>395</v>
      </c>
      <c r="F230" s="31" t="n">
        <v>0</v>
      </c>
      <c r="G230" s="31" t="n">
        <v>868</v>
      </c>
      <c r="H230" s="32">
        <f>G230/C230</f>
        <v/>
      </c>
      <c r="I230" s="31" t="n">
        <v>0</v>
      </c>
      <c r="J230" s="31" t="n">
        <v>0</v>
      </c>
      <c r="K230" s="31" t="n">
        <v>0</v>
      </c>
      <c r="L230" s="31" t="n">
        <v>220</v>
      </c>
      <c r="M230" s="31" t="n">
        <v>179</v>
      </c>
      <c r="N230" s="31" t="n">
        <v>435</v>
      </c>
      <c r="O230" s="31" t="n">
        <v>3</v>
      </c>
      <c r="P230" s="31" t="n">
        <v>1</v>
      </c>
      <c r="Q230" s="31" t="n">
        <v>2</v>
      </c>
      <c r="R230" s="31" t="n">
        <v>10</v>
      </c>
      <c r="S230" s="31" t="n">
        <v>0</v>
      </c>
      <c r="T230" s="31" t="n">
        <v>2</v>
      </c>
      <c r="U230" s="31" t="n">
        <v>2</v>
      </c>
      <c r="V230" s="31" t="n">
        <v>1</v>
      </c>
      <c r="W230" s="31" t="n">
        <v>3</v>
      </c>
      <c r="X230" s="31" t="n">
        <v>10</v>
      </c>
      <c r="Y230" s="20">
        <f>SUM(K230:X230)</f>
        <v/>
      </c>
      <c r="Z230" s="33">
        <f>G230-Y230</f>
        <v/>
      </c>
      <c r="AA230" s="48">
        <f>INDEX($K$3:$X$3, MATCH(MAX(K230:X230), K230:X230, 0))</f>
        <v/>
      </c>
      <c r="AB230" s="49">
        <f>LARGE(K230:X230, 1) - LARGE(K230:X230, 2)</f>
        <v/>
      </c>
    </row>
    <row r="231" ht="19" customHeight="1">
      <c r="A231" s="34" t="n">
        <v>228</v>
      </c>
      <c r="B231" s="35" t="inlineStr">
        <is>
          <t>PRATHMIK VIDYALAYA ROOM NO. 1 BHOGPUR GOKALPUR</t>
        </is>
      </c>
      <c r="C231" s="36" t="n">
        <v>891</v>
      </c>
      <c r="D231" s="36" t="n">
        <v>327</v>
      </c>
      <c r="E231" s="36" t="n">
        <v>334</v>
      </c>
      <c r="F231" s="36" t="n">
        <v>0</v>
      </c>
      <c r="G231" s="36" t="n">
        <v>661</v>
      </c>
      <c r="H231" s="37">
        <f>G231/C231</f>
        <v/>
      </c>
      <c r="I231" s="36" t="n">
        <v>144</v>
      </c>
      <c r="J231" s="36" t="n">
        <v>0</v>
      </c>
      <c r="K231" s="36" t="n">
        <v>21</v>
      </c>
      <c r="L231" s="36" t="n">
        <v>99</v>
      </c>
      <c r="M231" s="36" t="n">
        <v>270</v>
      </c>
      <c r="N231" s="36" t="n">
        <v>248</v>
      </c>
      <c r="O231" s="36" t="n">
        <v>4</v>
      </c>
      <c r="P231" s="36" t="n">
        <v>1</v>
      </c>
      <c r="Q231" s="36" t="n">
        <v>0</v>
      </c>
      <c r="R231" s="36" t="n">
        <v>5</v>
      </c>
      <c r="S231" s="36" t="n">
        <v>3</v>
      </c>
      <c r="T231" s="36" t="n">
        <v>1</v>
      </c>
      <c r="U231" s="36" t="n">
        <v>4</v>
      </c>
      <c r="V231" s="36" t="n">
        <v>3</v>
      </c>
      <c r="W231" s="36" t="n">
        <v>0</v>
      </c>
      <c r="X231" s="36" t="n">
        <v>2</v>
      </c>
      <c r="Y231" s="38">
        <f>SUM(K231:X231)</f>
        <v/>
      </c>
      <c r="Z231" s="39">
        <f>G231-Y231</f>
        <v/>
      </c>
      <c r="AA231" s="50">
        <f>INDEX($K$3:$X$3, MATCH(MAX(K231:X231), K231:X231, 0))</f>
        <v/>
      </c>
      <c r="AB231" s="51">
        <f>LARGE(K231:X231, 1) - LARGE(K231:X231, 2)</f>
        <v/>
      </c>
    </row>
    <row r="232" ht="19" customHeight="1">
      <c r="A232" s="18" t="n">
        <v>229</v>
      </c>
      <c r="B232" s="19" t="inlineStr">
        <is>
          <t>PRATHMIK VIDYALAYA ROOM NO. 1 MALAYAN</t>
        </is>
      </c>
      <c r="C232" s="31" t="n">
        <v>686</v>
      </c>
      <c r="D232" s="31" t="n">
        <v>284</v>
      </c>
      <c r="E232" s="31" t="n">
        <v>239</v>
      </c>
      <c r="F232" s="31" t="n">
        <v>0</v>
      </c>
      <c r="G232" s="31" t="n">
        <v>523</v>
      </c>
      <c r="H232" s="32">
        <f>G232/C232</f>
        <v/>
      </c>
      <c r="I232" s="31" t="n">
        <v>0</v>
      </c>
      <c r="J232" s="31" t="n">
        <v>0</v>
      </c>
      <c r="K232" s="31" t="n">
        <v>5</v>
      </c>
      <c r="L232" s="31" t="n">
        <v>207</v>
      </c>
      <c r="M232" s="31" t="n">
        <v>52</v>
      </c>
      <c r="N232" s="31" t="n">
        <v>208</v>
      </c>
      <c r="O232" s="31" t="n">
        <v>3</v>
      </c>
      <c r="P232" s="31" t="n">
        <v>1</v>
      </c>
      <c r="Q232" s="31" t="n">
        <v>0</v>
      </c>
      <c r="R232" s="31" t="n">
        <v>39</v>
      </c>
      <c r="S232" s="31" t="n">
        <v>1</v>
      </c>
      <c r="T232" s="31" t="n">
        <v>3</v>
      </c>
      <c r="U232" s="31" t="n">
        <v>0</v>
      </c>
      <c r="V232" s="31" t="n">
        <v>0</v>
      </c>
      <c r="W232" s="31" t="n">
        <v>2</v>
      </c>
      <c r="X232" s="31" t="n">
        <v>2</v>
      </c>
      <c r="Y232" s="20">
        <f>SUM(K232:X232)</f>
        <v/>
      </c>
      <c r="Z232" s="33">
        <f>G232-Y232</f>
        <v/>
      </c>
      <c r="AA232" s="48">
        <f>INDEX($K$3:$X$3, MATCH(MAX(K232:X232), K232:X232, 0))</f>
        <v/>
      </c>
      <c r="AB232" s="49">
        <f>LARGE(K232:X232, 1) - LARGE(K232:X232, 2)</f>
        <v/>
      </c>
    </row>
    <row r="233" ht="19" customHeight="1">
      <c r="A233" s="34" t="n">
        <v>230</v>
      </c>
      <c r="B233" s="35" t="inlineStr">
        <is>
          <t>VADIK INTER COLLEGE ROOM NO. 8 MUZZAFRABAD</t>
        </is>
      </c>
      <c r="C233" s="36" t="n">
        <v>1294</v>
      </c>
      <c r="D233" s="36" t="n">
        <v>541</v>
      </c>
      <c r="E233" s="36" t="n">
        <v>457</v>
      </c>
      <c r="F233" s="36" t="n">
        <v>0</v>
      </c>
      <c r="G233" s="36" t="n">
        <v>998</v>
      </c>
      <c r="H233" s="37">
        <f>G233/C233</f>
        <v/>
      </c>
      <c r="I233" s="36" t="n">
        <v>298</v>
      </c>
      <c r="J233" s="36" t="n">
        <v>0</v>
      </c>
      <c r="K233" s="36" t="n">
        <v>2</v>
      </c>
      <c r="L233" s="36" t="n">
        <v>328</v>
      </c>
      <c r="M233" s="36" t="n">
        <v>616</v>
      </c>
      <c r="N233" s="36" t="n">
        <v>32</v>
      </c>
      <c r="O233" s="36" t="n">
        <v>0</v>
      </c>
      <c r="P233" s="36" t="n">
        <v>1</v>
      </c>
      <c r="Q233" s="36" t="n">
        <v>0</v>
      </c>
      <c r="R233" s="36" t="n">
        <v>0</v>
      </c>
      <c r="S233" s="36" t="n">
        <v>0</v>
      </c>
      <c r="T233" s="36" t="n">
        <v>1</v>
      </c>
      <c r="U233" s="36" t="n">
        <v>2</v>
      </c>
      <c r="V233" s="36" t="n">
        <v>10</v>
      </c>
      <c r="W233" s="36" t="n">
        <v>3</v>
      </c>
      <c r="X233" s="36" t="n">
        <v>3</v>
      </c>
      <c r="Y233" s="38">
        <f>SUM(K233:X233)</f>
        <v/>
      </c>
      <c r="Z233" s="39">
        <f>G233-Y233</f>
        <v/>
      </c>
      <c r="AA233" s="50">
        <f>INDEX($K$3:$X$3, MATCH(MAX(K233:X233), K233:X233, 0))</f>
        <v/>
      </c>
      <c r="AB233" s="51">
        <f>LARGE(K233:X233, 1) - LARGE(K233:X233, 2)</f>
        <v/>
      </c>
    </row>
    <row r="234" ht="19" customHeight="1">
      <c r="A234" s="18" t="n">
        <v>231</v>
      </c>
      <c r="B234" s="19" t="inlineStr">
        <is>
          <t>VADIK INTER COLLEGE ROOM NO. 9 MUZZAFRABAD</t>
        </is>
      </c>
      <c r="C234" s="31" t="n">
        <v>701</v>
      </c>
      <c r="D234" s="31" t="n">
        <v>254</v>
      </c>
      <c r="E234" s="31" t="n">
        <v>232</v>
      </c>
      <c r="F234" s="31" t="n">
        <v>0</v>
      </c>
      <c r="G234" s="31" t="n">
        <v>486</v>
      </c>
      <c r="H234" s="32">
        <f>G234/C234</f>
        <v/>
      </c>
      <c r="I234" s="31" t="n">
        <v>75</v>
      </c>
      <c r="J234" s="31" t="n">
        <v>0</v>
      </c>
      <c r="K234" s="31" t="n">
        <v>2</v>
      </c>
      <c r="L234" s="31" t="n">
        <v>273</v>
      </c>
      <c r="M234" s="31" t="n">
        <v>111</v>
      </c>
      <c r="N234" s="31" t="n">
        <v>85</v>
      </c>
      <c r="O234" s="31" t="n">
        <v>1</v>
      </c>
      <c r="P234" s="31" t="n">
        <v>1</v>
      </c>
      <c r="Q234" s="31" t="n">
        <v>1</v>
      </c>
      <c r="R234" s="31" t="n">
        <v>1</v>
      </c>
      <c r="S234" s="31" t="n">
        <v>0</v>
      </c>
      <c r="T234" s="31" t="n">
        <v>1</v>
      </c>
      <c r="U234" s="31" t="n">
        <v>1</v>
      </c>
      <c r="V234" s="31" t="n">
        <v>0</v>
      </c>
      <c r="W234" s="31" t="n">
        <v>6</v>
      </c>
      <c r="X234" s="31" t="n">
        <v>3</v>
      </c>
      <c r="Y234" s="20">
        <f>SUM(K234:X234)</f>
        <v/>
      </c>
      <c r="Z234" s="33">
        <f>G234-Y234</f>
        <v/>
      </c>
      <c r="AA234" s="48">
        <f>INDEX($K$3:$X$3, MATCH(MAX(K234:X234), K234:X234, 0))</f>
        <v/>
      </c>
      <c r="AB234" s="49">
        <f>LARGE(K234:X234, 1) - LARGE(K234:X234, 2)</f>
        <v/>
      </c>
    </row>
    <row r="235" ht="19" customHeight="1">
      <c r="A235" s="34" t="n">
        <v>232</v>
      </c>
      <c r="B235" s="35" t="inlineStr">
        <is>
          <t>VADIK INTER COLLEGE ROOM NO. 10 MUZZAFRABAD</t>
        </is>
      </c>
      <c r="C235" s="36" t="n">
        <v>1181</v>
      </c>
      <c r="D235" s="36" t="n">
        <v>431</v>
      </c>
      <c r="E235" s="36" t="n">
        <v>384</v>
      </c>
      <c r="F235" s="36" t="n">
        <v>0</v>
      </c>
      <c r="G235" s="36" t="n">
        <v>815</v>
      </c>
      <c r="H235" s="37">
        <f>G235/C235</f>
        <v/>
      </c>
      <c r="I235" s="36" t="n">
        <v>34</v>
      </c>
      <c r="J235" s="36" t="n">
        <v>0</v>
      </c>
      <c r="K235" s="36" t="n">
        <v>1</v>
      </c>
      <c r="L235" s="36" t="n">
        <v>287</v>
      </c>
      <c r="M235" s="36" t="n">
        <v>272</v>
      </c>
      <c r="N235" s="36" t="n">
        <v>233</v>
      </c>
      <c r="O235" s="36" t="n">
        <v>4</v>
      </c>
      <c r="P235" s="36" t="n">
        <v>6</v>
      </c>
      <c r="Q235" s="36" t="n">
        <v>2</v>
      </c>
      <c r="R235" s="36" t="n">
        <v>0</v>
      </c>
      <c r="S235" s="36" t="n">
        <v>2</v>
      </c>
      <c r="T235" s="36" t="n">
        <v>2</v>
      </c>
      <c r="U235" s="36" t="n">
        <v>2</v>
      </c>
      <c r="V235" s="36" t="n">
        <v>1</v>
      </c>
      <c r="W235" s="36" t="n">
        <v>1</v>
      </c>
      <c r="X235" s="36" t="n">
        <v>2</v>
      </c>
      <c r="Y235" s="38">
        <f>SUM(K235:X235)</f>
        <v/>
      </c>
      <c r="Z235" s="39">
        <f>G235-Y235</f>
        <v/>
      </c>
      <c r="AA235" s="50">
        <f>INDEX($K$3:$X$3, MATCH(MAX(K235:X235), K235:X235, 0))</f>
        <v/>
      </c>
      <c r="AB235" s="51">
        <f>LARGE(K235:X235, 1) - LARGE(K235:X235, 2)</f>
        <v/>
      </c>
    </row>
    <row r="236" ht="19" customHeight="1">
      <c r="A236" s="18" t="n">
        <v>233</v>
      </c>
      <c r="B236" s="19" t="inlineStr">
        <is>
          <t>VADIK INTER COLLEGE ROOM NO. 13 MUZZAFRABAD</t>
        </is>
      </c>
      <c r="C236" s="31" t="n">
        <v>516</v>
      </c>
      <c r="D236" s="31" t="n">
        <v>205</v>
      </c>
      <c r="E236" s="31" t="n">
        <v>153</v>
      </c>
      <c r="F236" s="31" t="n">
        <v>0</v>
      </c>
      <c r="G236" s="31" t="n">
        <v>358</v>
      </c>
      <c r="H236" s="32">
        <f>G236/C236</f>
        <v/>
      </c>
      <c r="I236" s="31" t="n">
        <v>38</v>
      </c>
      <c r="J236" s="31" t="n">
        <v>0</v>
      </c>
      <c r="K236" s="31" t="n">
        <v>1</v>
      </c>
      <c r="L236" s="31" t="n">
        <v>66</v>
      </c>
      <c r="M236" s="31" t="n">
        <v>206</v>
      </c>
      <c r="N236" s="31" t="n">
        <v>72</v>
      </c>
      <c r="O236" s="31" t="n">
        <v>2</v>
      </c>
      <c r="P236" s="31" t="n">
        <v>1</v>
      </c>
      <c r="Q236" s="31" t="n">
        <v>0</v>
      </c>
      <c r="R236" s="31" t="n">
        <v>2</v>
      </c>
      <c r="S236" s="31" t="n">
        <v>0</v>
      </c>
      <c r="T236" s="31" t="n">
        <v>0</v>
      </c>
      <c r="U236" s="31" t="n">
        <v>2</v>
      </c>
      <c r="V236" s="31" t="n">
        <v>1</v>
      </c>
      <c r="W236" s="31" t="n">
        <v>1</v>
      </c>
      <c r="X236" s="31" t="n">
        <v>4</v>
      </c>
      <c r="Y236" s="20">
        <f>SUM(K236:X236)</f>
        <v/>
      </c>
      <c r="Z236" s="33">
        <f>G236-Y236</f>
        <v/>
      </c>
      <c r="AA236" s="48">
        <f>INDEX($K$3:$X$3, MATCH(MAX(K236:X236), K236:X236, 0))</f>
        <v/>
      </c>
      <c r="AB236" s="49">
        <f>LARGE(K236:X236, 1) - LARGE(K236:X236, 2)</f>
        <v/>
      </c>
    </row>
    <row r="237" ht="19" customHeight="1">
      <c r="A237" s="34" t="n">
        <v>234</v>
      </c>
      <c r="B237" s="35" t="inlineStr">
        <is>
          <t>VADIK INTER COLLEGE ROOM NO. 11 MUZZAFRABAD</t>
        </is>
      </c>
      <c r="C237" s="36" t="n">
        <v>1079</v>
      </c>
      <c r="D237" s="36" t="n">
        <v>396</v>
      </c>
      <c r="E237" s="36" t="n">
        <v>347</v>
      </c>
      <c r="F237" s="36" t="n">
        <v>0</v>
      </c>
      <c r="G237" s="36" t="n">
        <v>743</v>
      </c>
      <c r="H237" s="37">
        <f>G237/C237</f>
        <v/>
      </c>
      <c r="I237" s="36" t="n">
        <v>225</v>
      </c>
      <c r="J237" s="36" t="n">
        <v>0</v>
      </c>
      <c r="K237" s="36" t="n">
        <v>1</v>
      </c>
      <c r="L237" s="36" t="n">
        <v>38</v>
      </c>
      <c r="M237" s="36" t="n">
        <v>346</v>
      </c>
      <c r="N237" s="36" t="n">
        <v>343</v>
      </c>
      <c r="O237" s="36" t="n">
        <v>3</v>
      </c>
      <c r="P237" s="36" t="n">
        <v>2</v>
      </c>
      <c r="Q237" s="36" t="n">
        <v>1</v>
      </c>
      <c r="R237" s="36" t="n">
        <v>1</v>
      </c>
      <c r="S237" s="36" t="n">
        <v>0</v>
      </c>
      <c r="T237" s="36" t="n">
        <v>2</v>
      </c>
      <c r="U237" s="36" t="n">
        <v>0</v>
      </c>
      <c r="V237" s="36" t="n">
        <v>0</v>
      </c>
      <c r="W237" s="36" t="n">
        <v>2</v>
      </c>
      <c r="X237" s="36" t="n">
        <v>4</v>
      </c>
      <c r="Y237" s="38">
        <f>SUM(K237:X237)</f>
        <v/>
      </c>
      <c r="Z237" s="39">
        <f>G237-Y237</f>
        <v/>
      </c>
      <c r="AA237" s="50">
        <f>INDEX($K$3:$X$3, MATCH(MAX(K237:X237), K237:X237, 0))</f>
        <v/>
      </c>
      <c r="AB237" s="51">
        <f>LARGE(K237:X237, 1) - LARGE(K237:X237, 2)</f>
        <v/>
      </c>
    </row>
    <row r="238" ht="19" customHeight="1">
      <c r="A238" s="18" t="n">
        <v>235</v>
      </c>
      <c r="B238" s="19" t="inlineStr">
        <is>
          <t>VADIK INTER COLLEGE ROOM NO. 12 MUZZAFRABAD</t>
        </is>
      </c>
      <c r="C238" s="31" t="n">
        <v>1017</v>
      </c>
      <c r="D238" s="31" t="n">
        <v>364</v>
      </c>
      <c r="E238" s="31" t="n">
        <v>305</v>
      </c>
      <c r="F238" s="31" t="n">
        <v>0</v>
      </c>
      <c r="G238" s="31" t="n">
        <v>669</v>
      </c>
      <c r="H238" s="32">
        <f>G238/C238</f>
        <v/>
      </c>
      <c r="I238" s="31" t="n">
        <v>3</v>
      </c>
      <c r="J238" s="31" t="n">
        <v>0</v>
      </c>
      <c r="K238" s="31" t="n">
        <v>1</v>
      </c>
      <c r="L238" s="31" t="n">
        <v>124</v>
      </c>
      <c r="M238" s="31" t="n">
        <v>390</v>
      </c>
      <c r="N238" s="31" t="n">
        <v>137</v>
      </c>
      <c r="O238" s="31" t="n">
        <v>2</v>
      </c>
      <c r="P238" s="31" t="n">
        <v>3</v>
      </c>
      <c r="Q238" s="31" t="n">
        <v>1</v>
      </c>
      <c r="R238" s="31" t="n">
        <v>0</v>
      </c>
      <c r="S238" s="31" t="n">
        <v>0</v>
      </c>
      <c r="T238" s="31" t="n">
        <v>2</v>
      </c>
      <c r="U238" s="31" t="n">
        <v>1</v>
      </c>
      <c r="V238" s="31" t="n">
        <v>3</v>
      </c>
      <c r="W238" s="31" t="n">
        <v>1</v>
      </c>
      <c r="X238" s="31" t="n">
        <v>4</v>
      </c>
      <c r="Y238" s="20">
        <f>SUM(K238:X238)</f>
        <v/>
      </c>
      <c r="Z238" s="33">
        <f>G238-Y238</f>
        <v/>
      </c>
      <c r="AA238" s="48">
        <f>INDEX($K$3:$X$3, MATCH(MAX(K238:X238), K238:X238, 0))</f>
        <v/>
      </c>
      <c r="AB238" s="49">
        <f>LARGE(K238:X238, 1) - LARGE(K238:X238, 2)</f>
        <v/>
      </c>
    </row>
    <row r="239" ht="19" customHeight="1">
      <c r="A239" s="34" t="n">
        <v>236</v>
      </c>
      <c r="B239" s="35" t="inlineStr">
        <is>
          <t>PRATHMIK VIDYALAYA ROOM NO. 1 SHAHJADPUR URF DHALWALA</t>
        </is>
      </c>
      <c r="C239" s="36" t="n">
        <v>791</v>
      </c>
      <c r="D239" s="36" t="n">
        <v>310</v>
      </c>
      <c r="E239" s="36" t="n">
        <v>278</v>
      </c>
      <c r="F239" s="36" t="n">
        <v>0</v>
      </c>
      <c r="G239" s="36" t="n">
        <v>588</v>
      </c>
      <c r="H239" s="37">
        <f>G239/C239</f>
        <v/>
      </c>
      <c r="I239" s="36" t="n">
        <v>0</v>
      </c>
      <c r="J239" s="36" t="n">
        <v>0</v>
      </c>
      <c r="K239" s="36" t="n">
        <v>0</v>
      </c>
      <c r="L239" s="36" t="n">
        <v>75</v>
      </c>
      <c r="M239" s="36" t="n">
        <v>464</v>
      </c>
      <c r="N239" s="36" t="n">
        <v>37</v>
      </c>
      <c r="O239" s="36" t="n">
        <v>2</v>
      </c>
      <c r="P239" s="36" t="n">
        <v>2</v>
      </c>
      <c r="Q239" s="36" t="n">
        <v>1</v>
      </c>
      <c r="R239" s="36" t="n">
        <v>0</v>
      </c>
      <c r="S239" s="36" t="n">
        <v>2</v>
      </c>
      <c r="T239" s="36" t="n">
        <v>3</v>
      </c>
      <c r="U239" s="36" t="n">
        <v>0</v>
      </c>
      <c r="V239" s="36" t="n">
        <v>1</v>
      </c>
      <c r="W239" s="36" t="n">
        <v>1</v>
      </c>
      <c r="X239" s="36" t="n">
        <v>0</v>
      </c>
      <c r="Y239" s="38">
        <f>SUM(K239:X239)</f>
        <v/>
      </c>
      <c r="Z239" s="39">
        <f>G239-Y239</f>
        <v/>
      </c>
      <c r="AA239" s="50">
        <f>INDEX($K$3:$X$3, MATCH(MAX(K239:X239), K239:X239, 0))</f>
        <v/>
      </c>
      <c r="AB239" s="51">
        <f>LARGE(K239:X239, 1) - LARGE(K239:X239, 2)</f>
        <v/>
      </c>
    </row>
    <row r="240" ht="19" customHeight="1">
      <c r="A240" s="18" t="n">
        <v>237</v>
      </c>
      <c r="B240" s="19" t="inlineStr">
        <is>
          <t>PRATHMIK VIDYALAYA ROOM NO. 1 ALAMPUR KHURD</t>
        </is>
      </c>
      <c r="C240" s="31" t="n">
        <v>635</v>
      </c>
      <c r="D240" s="31" t="n">
        <v>277</v>
      </c>
      <c r="E240" s="31" t="n">
        <v>253</v>
      </c>
      <c r="F240" s="31" t="n">
        <v>0</v>
      </c>
      <c r="G240" s="31" t="n">
        <v>530</v>
      </c>
      <c r="H240" s="32">
        <f>G240/C240</f>
        <v/>
      </c>
      <c r="I240" s="31" t="n">
        <v>9</v>
      </c>
      <c r="J240" s="31" t="n">
        <v>0</v>
      </c>
      <c r="K240" s="31" t="n">
        <v>0</v>
      </c>
      <c r="L240" s="31" t="n">
        <v>46</v>
      </c>
      <c r="M240" s="31" t="n">
        <v>209</v>
      </c>
      <c r="N240" s="31" t="n">
        <v>259</v>
      </c>
      <c r="O240" s="31" t="n">
        <v>4</v>
      </c>
      <c r="P240" s="31" t="n">
        <v>0</v>
      </c>
      <c r="Q240" s="31" t="n">
        <v>0</v>
      </c>
      <c r="R240" s="31" t="n">
        <v>7</v>
      </c>
      <c r="S240" s="31" t="n">
        <v>0</v>
      </c>
      <c r="T240" s="31" t="n">
        <v>0</v>
      </c>
      <c r="U240" s="31" t="n">
        <v>3</v>
      </c>
      <c r="V240" s="31" t="n">
        <v>0</v>
      </c>
      <c r="W240" s="31" t="n">
        <v>1</v>
      </c>
      <c r="X240" s="31" t="n">
        <v>1</v>
      </c>
      <c r="Y240" s="20">
        <f>SUM(K240:X240)</f>
        <v/>
      </c>
      <c r="Z240" s="33">
        <f>G240-Y240</f>
        <v/>
      </c>
      <c r="AA240" s="48">
        <f>INDEX($K$3:$X$3, MATCH(MAX(K240:X240), K240:X240, 0))</f>
        <v/>
      </c>
      <c r="AB240" s="49">
        <f>LARGE(K240:X240, 1) - LARGE(K240:X240, 2)</f>
        <v/>
      </c>
    </row>
    <row r="241" ht="19" customHeight="1">
      <c r="A241" s="34" t="n">
        <v>238</v>
      </c>
      <c r="B241" s="35" t="inlineStr">
        <is>
          <t>PURVA MADHYAMIK VIDYALAYA ROOM NO. 1 MUSSAPUR</t>
        </is>
      </c>
      <c r="C241" s="36" t="n">
        <v>950</v>
      </c>
      <c r="D241" s="36" t="n">
        <v>427</v>
      </c>
      <c r="E241" s="36" t="n">
        <v>357</v>
      </c>
      <c r="F241" s="36" t="n">
        <v>0</v>
      </c>
      <c r="G241" s="36" t="n">
        <v>784</v>
      </c>
      <c r="H241" s="37">
        <f>G241/C241</f>
        <v/>
      </c>
      <c r="I241" s="36" t="n">
        <v>2</v>
      </c>
      <c r="J241" s="36" t="n">
        <v>0</v>
      </c>
      <c r="K241" s="36" t="n">
        <v>3</v>
      </c>
      <c r="L241" s="36" t="n">
        <v>53</v>
      </c>
      <c r="M241" s="36" t="n">
        <v>313</v>
      </c>
      <c r="N241" s="36" t="n">
        <v>376</v>
      </c>
      <c r="O241" s="36" t="n">
        <v>4</v>
      </c>
      <c r="P241" s="36" t="n">
        <v>2</v>
      </c>
      <c r="Q241" s="36" t="n">
        <v>0</v>
      </c>
      <c r="R241" s="36" t="n">
        <v>26</v>
      </c>
      <c r="S241" s="36" t="n">
        <v>2</v>
      </c>
      <c r="T241" s="36" t="n">
        <v>1</v>
      </c>
      <c r="U241" s="36" t="n">
        <v>0</v>
      </c>
      <c r="V241" s="36" t="n">
        <v>0</v>
      </c>
      <c r="W241" s="36" t="n">
        <v>3</v>
      </c>
      <c r="X241" s="36" t="n">
        <v>1</v>
      </c>
      <c r="Y241" s="38">
        <f>SUM(K241:X241)</f>
        <v/>
      </c>
      <c r="Z241" s="39">
        <f>G241-Y241</f>
        <v/>
      </c>
      <c r="AA241" s="50">
        <f>INDEX($K$3:$X$3, MATCH(MAX(K241:X241), K241:X241, 0))</f>
        <v/>
      </c>
      <c r="AB241" s="51">
        <f>LARGE(K241:X241, 1) - LARGE(K241:X241, 2)</f>
        <v/>
      </c>
    </row>
    <row r="242" ht="19" customHeight="1">
      <c r="A242" s="18" t="n">
        <v>239</v>
      </c>
      <c r="B242" s="19" t="inlineStr">
        <is>
          <t>PRATHMIK VIDYALAYA ROOM NO. 1 MADANPURA</t>
        </is>
      </c>
      <c r="C242" s="31" t="n">
        <v>529</v>
      </c>
      <c r="D242" s="31" t="n">
        <v>241</v>
      </c>
      <c r="E242" s="31" t="n">
        <v>222</v>
      </c>
      <c r="F242" s="31" t="n">
        <v>0</v>
      </c>
      <c r="G242" s="31" t="n">
        <v>463</v>
      </c>
      <c r="H242" s="32">
        <f>G242/C242</f>
        <v/>
      </c>
      <c r="I242" s="31" t="n">
        <v>16</v>
      </c>
      <c r="J242" s="31" t="n">
        <v>0</v>
      </c>
      <c r="K242" s="31" t="n">
        <v>2</v>
      </c>
      <c r="L242" s="31" t="n">
        <v>134</v>
      </c>
      <c r="M242" s="31" t="n">
        <v>299</v>
      </c>
      <c r="N242" s="31" t="n">
        <v>4</v>
      </c>
      <c r="O242" s="31" t="n">
        <v>0</v>
      </c>
      <c r="P242" s="31" t="n">
        <v>1</v>
      </c>
      <c r="Q242" s="31" t="n">
        <v>0</v>
      </c>
      <c r="R242" s="31" t="n">
        <v>2</v>
      </c>
      <c r="S242" s="31" t="n">
        <v>1</v>
      </c>
      <c r="T242" s="31" t="n">
        <v>1</v>
      </c>
      <c r="U242" s="31" t="n">
        <v>3</v>
      </c>
      <c r="V242" s="31" t="n">
        <v>4</v>
      </c>
      <c r="W242" s="31" t="n">
        <v>6</v>
      </c>
      <c r="X242" s="31" t="n">
        <v>6</v>
      </c>
      <c r="Y242" s="20">
        <f>SUM(K242:X242)</f>
        <v/>
      </c>
      <c r="Z242" s="33">
        <f>G242-Y242</f>
        <v/>
      </c>
      <c r="AA242" s="48">
        <f>INDEX($K$3:$X$3, MATCH(MAX(K242:X242), K242:X242, 0))</f>
        <v/>
      </c>
      <c r="AB242" s="49">
        <f>LARGE(K242:X242, 1) - LARGE(K242:X242, 2)</f>
        <v/>
      </c>
    </row>
    <row r="243" ht="19" customHeight="1">
      <c r="A243" s="34" t="n">
        <v>240</v>
      </c>
      <c r="B243" s="35" t="inlineStr">
        <is>
          <t>INDIRA GHANDHI INTER COLLEGE ROOM NO. 18 TALHAPUR</t>
        </is>
      </c>
      <c r="C243" s="36" t="n">
        <v>1037</v>
      </c>
      <c r="D243" s="36" t="n">
        <v>433</v>
      </c>
      <c r="E243" s="36" t="n">
        <v>374</v>
      </c>
      <c r="F243" s="36" t="n">
        <v>0</v>
      </c>
      <c r="G243" s="36" t="n">
        <v>807</v>
      </c>
      <c r="H243" s="37">
        <f>G243/C243</f>
        <v/>
      </c>
      <c r="I243" s="36" t="n">
        <v>269</v>
      </c>
      <c r="J243" s="36" t="n">
        <v>0</v>
      </c>
      <c r="K243" s="36" t="n">
        <v>1</v>
      </c>
      <c r="L243" s="36" t="n">
        <v>118</v>
      </c>
      <c r="M243" s="36" t="n">
        <v>247</v>
      </c>
      <c r="N243" s="36" t="n">
        <v>416</v>
      </c>
      <c r="O243" s="36" t="n">
        <v>7</v>
      </c>
      <c r="P243" s="36" t="n">
        <v>0</v>
      </c>
      <c r="Q243" s="36" t="n">
        <v>0</v>
      </c>
      <c r="R243" s="36" t="n">
        <v>3</v>
      </c>
      <c r="S243" s="36" t="n">
        <v>2</v>
      </c>
      <c r="T243" s="36" t="n">
        <v>1</v>
      </c>
      <c r="U243" s="36" t="n">
        <v>8</v>
      </c>
      <c r="V243" s="36" t="n">
        <v>0</v>
      </c>
      <c r="W243" s="36" t="n">
        <v>4</v>
      </c>
      <c r="X243" s="36" t="n">
        <v>0</v>
      </c>
      <c r="Y243" s="38">
        <f>SUM(K243:X243)</f>
        <v/>
      </c>
      <c r="Z243" s="39">
        <f>G243-Y243</f>
        <v/>
      </c>
      <c r="AA243" s="50">
        <f>INDEX($K$3:$X$3, MATCH(MAX(K243:X243), K243:X243, 0))</f>
        <v/>
      </c>
      <c r="AB243" s="51">
        <f>LARGE(K243:X243, 1) - LARGE(K243:X243, 2)</f>
        <v/>
      </c>
    </row>
    <row r="244" ht="24" customHeight="1">
      <c r="A244" s="26" t="inlineStr"/>
      <c r="B244" s="27" t="inlineStr">
        <is>
          <t>Grand Total</t>
        </is>
      </c>
      <c r="C244" s="28">
        <f>SUM(C4:C243)</f>
        <v/>
      </c>
      <c r="D244" s="28">
        <f>SUM(D4:D243)</f>
        <v/>
      </c>
      <c r="E244" s="28">
        <f>SUM(E4:E243)</f>
        <v/>
      </c>
      <c r="F244" s="28">
        <f>SUM(F4:F243)</f>
        <v/>
      </c>
      <c r="G244" s="28">
        <f>SUM(G4:G243)</f>
        <v/>
      </c>
      <c r="H244" s="29">
        <f>G244/C244</f>
        <v/>
      </c>
      <c r="I244" s="28">
        <f>SUM(I4:I243)</f>
        <v/>
      </c>
      <c r="J244" s="28">
        <f>SUM(J4:J243)</f>
        <v/>
      </c>
      <c r="K244" s="28">
        <f>SUM(K4:K243)</f>
        <v/>
      </c>
      <c r="L244" s="28">
        <f>SUM(L4:L243)</f>
        <v/>
      </c>
      <c r="M244" s="28">
        <f>SUM(M4:M243)</f>
        <v/>
      </c>
      <c r="N244" s="28">
        <f>SUM(N4:N243)</f>
        <v/>
      </c>
      <c r="O244" s="28">
        <f>SUM(O4:O243)</f>
        <v/>
      </c>
      <c r="P244" s="28">
        <f>SUM(P4:P243)</f>
        <v/>
      </c>
      <c r="Q244" s="28">
        <f>SUM(Q4:Q243)</f>
        <v/>
      </c>
      <c r="R244" s="28">
        <f>SUM(R4:R243)</f>
        <v/>
      </c>
      <c r="S244" s="28">
        <f>SUM(S4:S243)</f>
        <v/>
      </c>
      <c r="T244" s="28">
        <f>SUM(T4:T243)</f>
        <v/>
      </c>
      <c r="U244" s="28">
        <f>SUM(U4:U243)</f>
        <v/>
      </c>
      <c r="V244" s="28">
        <f>SUM(V4:V243)</f>
        <v/>
      </c>
      <c r="W244" s="28">
        <f>SUM(W4:W243)</f>
        <v/>
      </c>
      <c r="X244" s="28">
        <f>SUM(X4:X243)</f>
        <v/>
      </c>
      <c r="Y244" s="28">
        <f>SUM(Y4:Y243)</f>
        <v/>
      </c>
      <c r="Z244" s="40">
        <f>SUM(Z4:Z243)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2026-08-20T18:07:47Z</dcterms:created>
  <dcterms:modified xmlns:dcterms="http://purl.org/dc/terms/" xmlns:xsi="http://www.w3.org/2001/XMLSchema-instance" xsi:type="dcterms:W3CDTF">2026-08-21T09:32:49Z</dcterms:modified>
</cp:coreProperties>
</file>